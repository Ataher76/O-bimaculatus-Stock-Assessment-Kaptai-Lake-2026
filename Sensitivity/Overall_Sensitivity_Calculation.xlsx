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Work\Saheen sir\Nirjhor 18-19\2nd Review AFF\Sir\New Supplementary File\"/>
    </mc:Choice>
  </mc:AlternateContent>
  <xr:revisionPtr revIDLastSave="0" documentId="13_ncr:1_{ACB3BB32-2320-49B5-A095-3FC15148C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 parameters" sheetId="1" r:id="rId1"/>
    <sheet name="Prob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D3" i="1"/>
  <c r="D2" i="1"/>
  <c r="C3" i="1"/>
  <c r="C2" i="1"/>
  <c r="B10" i="1"/>
  <c r="C8" i="1"/>
  <c r="C7" i="1"/>
  <c r="C6" i="1"/>
  <c r="B6" i="1"/>
</calcChain>
</file>

<file path=xl/sharedStrings.xml><?xml version="1.0" encoding="utf-8"?>
<sst xmlns="http://schemas.openxmlformats.org/spreadsheetml/2006/main" count="39" uniqueCount="31">
  <si>
    <t>Linf</t>
  </si>
  <si>
    <t>Lmat</t>
  </si>
  <si>
    <t>Pmat</t>
  </si>
  <si>
    <t>Popt</t>
  </si>
  <si>
    <t>Pmega</t>
  </si>
  <si>
    <t>BM</t>
  </si>
  <si>
    <t>LM_ratio</t>
  </si>
  <si>
    <t>Scenario</t>
  </si>
  <si>
    <t>Scenario description</t>
  </si>
  <si>
    <t>Pobj</t>
  </si>
  <si>
    <t>Probability (%) &lt; TSB40</t>
  </si>
  <si>
    <t>Probability (%) &lt; LSB25</t>
  </si>
  <si>
    <t>Base model</t>
  </si>
  <si>
    <t>S1</t>
  </si>
  <si>
    <t>S2</t>
  </si>
  <si>
    <t>S3</t>
  </si>
  <si>
    <t>S4</t>
  </si>
  <si>
    <t>Parameter</t>
  </si>
  <si>
    <t>Base value</t>
  </si>
  <si>
    <t>Base</t>
  </si>
  <si>
    <t>Linf +10%</t>
  </si>
  <si>
    <t>Linf −10%</t>
  </si>
  <si>
    <t>Lmat +10%</t>
  </si>
  <si>
    <t>Lmat -10%</t>
  </si>
  <si>
    <t>Plus 10%</t>
  </si>
  <si>
    <t>Minus 10%</t>
  </si>
  <si>
    <t>S1 (Linf +10%)</t>
  </si>
  <si>
    <t>S2 (Linf -10%)</t>
  </si>
  <si>
    <t>S3 (Lmat +10%)</t>
  </si>
  <si>
    <t>S4 (Lmat -10%)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</si>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</sst>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85" zoomScaleNormal="85" workbookViewId="0">
      <selection activeCell="F12" sqref="F12"/>
    </sheetView>
  </sheetViews>
  <sheetFormatPr defaultColWidth="11.5546875" defaultRowHeight="14.4" x14ac:dyDescent="0.3"/>
  <cols>
    <col min="1" max="1" width="14.109375" bestFit="1" customWidth="1"/>
    <col min="2" max="2" width="10.21875" bestFit="1" customWidth="1"/>
    <col min="3" max="3" width="8.44140625" bestFit="1" customWidth="1"/>
    <col min="4" max="4" width="10.21875" bestFit="1" customWidth="1"/>
  </cols>
  <sheetData>
    <row r="1" spans="1:4" x14ac:dyDescent="0.3">
      <c r="A1" t="s">
        <v>17</v>
      </c>
      <c r="B1" t="s">
        <v>18</v>
      </c>
      <c r="C1" s="3" t="s">
        <v>24</v>
      </c>
      <c r="D1" s="3" t="s">
        <v>25</v>
      </c>
    </row>
    <row r="2" spans="1:4" x14ac:dyDescent="0.3">
      <c r="A2" t="s">
        <v>0</v>
      </c>
      <c r="B2">
        <v>36.32</v>
      </c>
      <c r="C2">
        <f>B2*1.1</f>
        <v>39.952000000000005</v>
      </c>
      <c r="D2">
        <f>B2*0.9</f>
        <v>32.688000000000002</v>
      </c>
    </row>
    <row r="3" spans="1:4" x14ac:dyDescent="0.3">
      <c r="A3" t="s">
        <v>1</v>
      </c>
      <c r="B3">
        <v>21.02</v>
      </c>
      <c r="C3">
        <f>B3*1.1</f>
        <v>23.122</v>
      </c>
      <c r="D3">
        <f>B3*0.9</f>
        <v>18.917999999999999</v>
      </c>
    </row>
    <row r="5" spans="1:4" x14ac:dyDescent="0.3">
      <c r="A5" t="s">
        <v>7</v>
      </c>
      <c r="B5" t="s">
        <v>0</v>
      </c>
      <c r="C5" t="s">
        <v>1</v>
      </c>
    </row>
    <row r="6" spans="1:4" x14ac:dyDescent="0.3">
      <c r="A6" t="s">
        <v>19</v>
      </c>
      <c r="B6">
        <f>B2</f>
        <v>36.32</v>
      </c>
      <c r="C6">
        <f>B3</f>
        <v>21.02</v>
      </c>
    </row>
    <row r="7" spans="1:4" x14ac:dyDescent="0.3">
      <c r="A7" t="s">
        <v>26</v>
      </c>
      <c r="B7">
        <v>39.952000000000005</v>
      </c>
      <c r="C7">
        <f>B3</f>
        <v>21.02</v>
      </c>
    </row>
    <row r="8" spans="1:4" x14ac:dyDescent="0.3">
      <c r="A8" t="s">
        <v>27</v>
      </c>
      <c r="B8">
        <v>32.688000000000002</v>
      </c>
      <c r="C8">
        <f>B3</f>
        <v>21.02</v>
      </c>
    </row>
    <row r="9" spans="1:4" x14ac:dyDescent="0.3">
      <c r="A9" t="s">
        <v>28</v>
      </c>
      <c r="B9">
        <f>B2</f>
        <v>36.32</v>
      </c>
      <c r="C9">
        <v>23.122</v>
      </c>
    </row>
    <row r="10" spans="1:4" x14ac:dyDescent="0.3">
      <c r="A10" t="s">
        <v>29</v>
      </c>
      <c r="B10">
        <f>B2</f>
        <v>36.32</v>
      </c>
      <c r="C10">
        <v>18.917999999999999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1099-8237-485D-B578-E5A54C1E34AE}">
  <dimension ref="A1:K6"/>
  <sheetViews>
    <sheetView workbookViewId="0">
      <selection activeCell="J6" sqref="J6"/>
    </sheetView>
  </sheetViews>
  <sheetFormatPr defaultRowHeight="14.4" x14ac:dyDescent="0.3"/>
  <sheetData>
    <row r="1" spans="1:11" ht="43.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6</v>
      </c>
      <c r="F1" s="1" t="s">
        <v>9</v>
      </c>
      <c r="G1" s="1" t="s">
        <v>2</v>
      </c>
      <c r="H1" s="1" t="s">
        <v>3</v>
      </c>
      <c r="I1" s="1" t="s">
        <v>4</v>
      </c>
      <c r="J1" s="1" t="s">
        <v>10</v>
      </c>
      <c r="K1" s="1" t="s">
        <v>11</v>
      </c>
    </row>
    <row r="2" spans="1:11" ht="28.8" x14ac:dyDescent="0.3">
      <c r="A2" s="2" t="s">
        <v>5</v>
      </c>
      <c r="B2" s="2" t="s">
        <v>12</v>
      </c>
      <c r="C2" s="2">
        <v>36.32</v>
      </c>
      <c r="D2" s="2">
        <v>21.02</v>
      </c>
      <c r="E2" s="2">
        <v>0.97</v>
      </c>
      <c r="F2" s="2">
        <v>139.31</v>
      </c>
      <c r="G2">
        <v>65.031328602461798</v>
      </c>
      <c r="H2">
        <v>42.494077743677899</v>
      </c>
      <c r="I2">
        <v>31.783523501758001</v>
      </c>
      <c r="J2" s="2">
        <v>100</v>
      </c>
      <c r="K2" s="2">
        <v>100</v>
      </c>
    </row>
    <row r="3" spans="1:11" x14ac:dyDescent="0.3">
      <c r="A3" s="2" t="s">
        <v>13</v>
      </c>
      <c r="B3" s="2" t="s">
        <v>20</v>
      </c>
      <c r="C3">
        <v>39.951999999999998</v>
      </c>
      <c r="D3" s="2" t="s">
        <v>30</v>
      </c>
      <c r="E3" s="2">
        <v>0.97</v>
      </c>
      <c r="F3" s="2">
        <v>139.94149999999999</v>
      </c>
      <c r="G3">
        <v>65.213909999999998</v>
      </c>
      <c r="H3">
        <v>42.772489999999998</v>
      </c>
      <c r="I3">
        <v>31.955079999999999</v>
      </c>
      <c r="J3" s="2">
        <v>100</v>
      </c>
      <c r="K3" s="2">
        <v>100</v>
      </c>
    </row>
    <row r="4" spans="1:11" x14ac:dyDescent="0.3">
      <c r="A4" s="2" t="s">
        <v>14</v>
      </c>
      <c r="B4" s="2" t="s">
        <v>21</v>
      </c>
      <c r="C4">
        <v>32.688000000000002</v>
      </c>
      <c r="D4" s="2" t="s">
        <v>30</v>
      </c>
      <c r="E4" s="2">
        <v>0.97</v>
      </c>
      <c r="F4" s="2">
        <v>138.82859999999999</v>
      </c>
      <c r="G4" s="2">
        <v>64.83381</v>
      </c>
      <c r="H4" s="2">
        <v>42.387509999999999</v>
      </c>
      <c r="I4">
        <v>31.607299999999999</v>
      </c>
      <c r="J4" s="2">
        <v>100</v>
      </c>
      <c r="K4" s="2">
        <v>100</v>
      </c>
    </row>
    <row r="5" spans="1:11" ht="28.8" x14ac:dyDescent="0.3">
      <c r="A5" s="2" t="s">
        <v>15</v>
      </c>
      <c r="B5" s="2" t="s">
        <v>22</v>
      </c>
      <c r="C5" s="2" t="s">
        <v>30</v>
      </c>
      <c r="D5">
        <v>23.122</v>
      </c>
      <c r="E5" s="2">
        <v>0.96</v>
      </c>
      <c r="F5" s="2">
        <v>100.1276</v>
      </c>
      <c r="G5" s="2">
        <v>40.824159999999999</v>
      </c>
      <c r="H5" s="2">
        <v>48.257449999999999</v>
      </c>
      <c r="I5" s="2">
        <v>11.04594</v>
      </c>
      <c r="J5" s="2">
        <v>100</v>
      </c>
      <c r="K5" s="2">
        <v>100</v>
      </c>
    </row>
    <row r="6" spans="1:11" ht="28.8" x14ac:dyDescent="0.3">
      <c r="A6" s="2" t="s">
        <v>16</v>
      </c>
      <c r="B6" s="2" t="s">
        <v>23</v>
      </c>
      <c r="C6" s="2" t="s">
        <v>30</v>
      </c>
      <c r="D6">
        <v>18.917999999999999</v>
      </c>
      <c r="E6" s="2">
        <v>0.97</v>
      </c>
      <c r="F6" s="2">
        <v>169.18379999999999</v>
      </c>
      <c r="G6" s="2">
        <v>79.303560000000004</v>
      </c>
      <c r="H6" s="2">
        <v>29.127089999999999</v>
      </c>
      <c r="I6" s="2">
        <v>60.75311</v>
      </c>
      <c r="J6" s="2">
        <v>100</v>
      </c>
      <c r="K6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parameters</vt:lpstr>
      <vt:lpstr>Prob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2025-06-27T11:58:04Z</dcterms:created>
  <dcterms:modified xsi:type="dcterms:W3CDTF">2026-09-04T00:06:14Z</dcterms:modified>
</cp:coreProperties>
</file>