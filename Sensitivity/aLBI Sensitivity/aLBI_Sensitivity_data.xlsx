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Thesis\Mydata\aLBI\aLBi\Final\"/>
    </mc:Choice>
  </mc:AlternateContent>
  <xr:revisionPtr revIDLastSave="0" documentId="13_ncr:1_{82893C63-2EB1-4ADA-A23A-756EA5437604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input parameters" sheetId="1" r:id="rId1"/>
    <sheet name="Length_Parameters" sheetId="5" r:id="rId2"/>
    <sheet name="Froese_Indicators" sheetId="2" r:id="rId3"/>
    <sheet name="Prob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C8" i="1"/>
  <c r="C7" i="1"/>
  <c r="C6" i="1"/>
  <c r="B6" i="1"/>
  <c r="D3" i="1"/>
  <c r="C10" i="1" s="1"/>
  <c r="C3" i="1"/>
  <c r="C9" i="1" s="1"/>
  <c r="D2" i="1"/>
  <c r="B8" i="1" s="1"/>
  <c r="C2" i="1"/>
  <c r="B7" i="1" s="1"/>
</calcChain>
</file>

<file path=xl/sharedStrings.xml><?xml version="1.0" encoding="utf-8"?>
<sst xmlns="http://schemas.openxmlformats.org/spreadsheetml/2006/main" count="135" uniqueCount="45">
  <si>
    <t>Mean_estimate</t>
  </si>
  <si>
    <t>Lower_CI</t>
  </si>
  <si>
    <t>Upper_CI</t>
  </si>
  <si>
    <t>Lmax</t>
  </si>
  <si>
    <t>Linf</t>
  </si>
  <si>
    <t>Lmat</t>
  </si>
  <si>
    <t>Lopt</t>
  </si>
  <si>
    <t>Lopt_p10</t>
  </si>
  <si>
    <t>Lopt_m10</t>
  </si>
  <si>
    <t>Mean_froese</t>
  </si>
  <si>
    <t>Pmat</t>
  </si>
  <si>
    <t>Popt</t>
  </si>
  <si>
    <t>Pmega</t>
  </si>
  <si>
    <t>Code</t>
  </si>
  <si>
    <t>Input</t>
  </si>
  <si>
    <t>BM</t>
  </si>
  <si>
    <t>Linf_P5</t>
  </si>
  <si>
    <t>Linf_M5</t>
  </si>
  <si>
    <t>LM_ratio</t>
  </si>
  <si>
    <t>Lmat_P5</t>
  </si>
  <si>
    <t>Lmat_M5</t>
  </si>
  <si>
    <t>Par</t>
  </si>
  <si>
    <t>Scenario</t>
  </si>
  <si>
    <t>Scenario description</t>
  </si>
  <si>
    <t>Pobj</t>
  </si>
  <si>
    <t>Probability (%) &lt; TSB40</t>
  </si>
  <si>
    <t>Probability (%) &lt; LSB25</t>
  </si>
  <si>
    <t>Base model</t>
  </si>
  <si>
    <t>S1</t>
  </si>
  <si>
    <t>Linf −5%</t>
  </si>
  <si>
    <t>S2</t>
  </si>
  <si>
    <t>Linf +5%</t>
  </si>
  <si>
    <t>S3</t>
  </si>
  <si>
    <t>S4</t>
  </si>
  <si>
    <t>Lmat +5%</t>
  </si>
  <si>
    <t>Parameter</t>
  </si>
  <si>
    <t>Base value</t>
  </si>
  <si>
    <t>+5%</t>
  </si>
  <si>
    <t>-5%</t>
  </si>
  <si>
    <t>Base</t>
  </si>
  <si>
    <t>S1 (Linf +5%)</t>
  </si>
  <si>
    <t>S2 (Linf -5%)</t>
  </si>
  <si>
    <t>S3 (Lmat +5%)</t>
  </si>
  <si>
    <t>S4 (Lmat -5%)</t>
  </si>
  <si>
    <t>Lmat -5%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</si>
</sst>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zoomScale="85" zoomScaleNormal="85" workbookViewId="0">
      <selection activeCell="C10" sqref="C10"/>
    </sheetView>
  </sheetViews>
  <sheetFormatPr defaultColWidth="11.5546875" defaultRowHeight="14.4" x14ac:dyDescent="0.3"/>
  <cols>
    <col min="2" max="2" width="12" customWidth="1"/>
    <col min="3" max="3" width="11.33203125" customWidth="1"/>
    <col min="4" max="4" width="10.6640625" customWidth="1"/>
  </cols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4</v>
      </c>
      <c r="B2">
        <v>36.32</v>
      </c>
      <c r="C2">
        <f>B2*1.05</f>
        <v>38.136000000000003</v>
      </c>
      <c r="D2">
        <f>B2*0.95</f>
        <v>34.503999999999998</v>
      </c>
    </row>
    <row r="3" spans="1:4" x14ac:dyDescent="0.3">
      <c r="A3" t="s">
        <v>5</v>
      </c>
      <c r="B3">
        <v>21.02</v>
      </c>
      <c r="C3">
        <f>B3*1.05</f>
        <v>22.071000000000002</v>
      </c>
      <c r="D3">
        <f>B3*0.95</f>
        <v>19.968999999999998</v>
      </c>
    </row>
    <row r="5" spans="1:4" x14ac:dyDescent="0.3">
      <c r="A5" t="s">
        <v>22</v>
      </c>
      <c r="B5" t="s">
        <v>4</v>
      </c>
      <c r="C5" t="s">
        <v>5</v>
      </c>
    </row>
    <row r="6" spans="1:4" x14ac:dyDescent="0.3">
      <c r="A6" t="s">
        <v>39</v>
      </c>
      <c r="B6">
        <f>B2</f>
        <v>36.32</v>
      </c>
      <c r="C6">
        <f>B3</f>
        <v>21.02</v>
      </c>
    </row>
    <row r="7" spans="1:4" x14ac:dyDescent="0.3">
      <c r="A7" t="s">
        <v>40</v>
      </c>
      <c r="B7">
        <f>C2</f>
        <v>38.136000000000003</v>
      </c>
      <c r="C7">
        <f>B3</f>
        <v>21.02</v>
      </c>
    </row>
    <row r="8" spans="1:4" x14ac:dyDescent="0.3">
      <c r="A8" t="s">
        <v>41</v>
      </c>
      <c r="B8">
        <f>D2</f>
        <v>34.503999999999998</v>
      </c>
      <c r="C8">
        <f>B3</f>
        <v>21.02</v>
      </c>
    </row>
    <row r="9" spans="1:4" x14ac:dyDescent="0.3">
      <c r="A9" t="s">
        <v>42</v>
      </c>
      <c r="B9">
        <f>B2</f>
        <v>36.32</v>
      </c>
      <c r="C9" s="4">
        <f>C3</f>
        <v>22.071000000000002</v>
      </c>
    </row>
    <row r="10" spans="1:4" x14ac:dyDescent="0.3">
      <c r="A10" t="s">
        <v>43</v>
      </c>
      <c r="B10">
        <f>B2</f>
        <v>36.32</v>
      </c>
      <c r="C10" s="4">
        <f>D3</f>
        <v>19.968999999999998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3BA6-FD3C-45C0-B4E6-156D58C7A307}">
  <dimension ref="A1:F55"/>
  <sheetViews>
    <sheetView zoomScale="85" zoomScaleNormal="85" workbookViewId="0">
      <selection activeCell="D2" sqref="D2:F31"/>
    </sheetView>
  </sheetViews>
  <sheetFormatPr defaultColWidth="11.5546875" defaultRowHeight="14.4" x14ac:dyDescent="0.3"/>
  <cols>
    <col min="1" max="1" width="5.21875" bestFit="1" customWidth="1"/>
  </cols>
  <sheetData>
    <row r="1" spans="1:6" x14ac:dyDescent="0.3">
      <c r="A1" t="s">
        <v>13</v>
      </c>
      <c r="B1" t="s">
        <v>21</v>
      </c>
      <c r="C1" t="s">
        <v>14</v>
      </c>
      <c r="D1" t="s">
        <v>0</v>
      </c>
      <c r="E1" t="s">
        <v>1</v>
      </c>
      <c r="F1" t="s">
        <v>2</v>
      </c>
    </row>
    <row r="2" spans="1:6" x14ac:dyDescent="0.3">
      <c r="A2">
        <v>1</v>
      </c>
      <c r="B2" t="s">
        <v>3</v>
      </c>
      <c r="C2" t="s">
        <v>15</v>
      </c>
      <c r="D2" s="4">
        <v>34.501638037995598</v>
      </c>
      <c r="E2" s="4">
        <v>33.553678882717698</v>
      </c>
      <c r="F2" s="4">
        <v>35.367285499811302</v>
      </c>
    </row>
    <row r="3" spans="1:6" x14ac:dyDescent="0.3">
      <c r="A3">
        <v>1</v>
      </c>
      <c r="B3" t="s">
        <v>4</v>
      </c>
      <c r="C3" t="s">
        <v>15</v>
      </c>
      <c r="D3" s="4">
        <v>36.317513724205902</v>
      </c>
      <c r="E3" s="4">
        <v>35.319661981808103</v>
      </c>
      <c r="F3" s="4">
        <v>37.228721578748697</v>
      </c>
    </row>
    <row r="4" spans="1:6" x14ac:dyDescent="0.3">
      <c r="A4">
        <v>1</v>
      </c>
      <c r="B4" t="s">
        <v>5</v>
      </c>
      <c r="C4" t="s">
        <v>15</v>
      </c>
      <c r="D4" s="4">
        <v>21.036303155750701</v>
      </c>
      <c r="E4" s="4">
        <v>20.074313798258402</v>
      </c>
      <c r="F4" s="4">
        <v>21.992472433665998</v>
      </c>
    </row>
    <row r="5" spans="1:6" x14ac:dyDescent="0.3">
      <c r="A5">
        <v>1</v>
      </c>
      <c r="B5" t="s">
        <v>6</v>
      </c>
      <c r="C5" t="s">
        <v>15</v>
      </c>
      <c r="D5" s="4">
        <v>21.717285193653598</v>
      </c>
      <c r="E5" s="4">
        <v>20.032289579387399</v>
      </c>
      <c r="F5" s="4">
        <v>23.55706979899</v>
      </c>
    </row>
    <row r="6" spans="1:6" x14ac:dyDescent="0.3">
      <c r="A6">
        <v>1</v>
      </c>
      <c r="B6" t="s">
        <v>7</v>
      </c>
      <c r="C6" t="s">
        <v>15</v>
      </c>
      <c r="D6" s="4">
        <v>23.889013713019001</v>
      </c>
      <c r="E6" s="4">
        <v>22.035518537326201</v>
      </c>
      <c r="F6" s="4">
        <v>25.912776778889</v>
      </c>
    </row>
    <row r="7" spans="1:6" x14ac:dyDescent="0.3">
      <c r="A7">
        <v>1</v>
      </c>
      <c r="B7" t="s">
        <v>8</v>
      </c>
      <c r="C7" t="s">
        <v>15</v>
      </c>
      <c r="D7" s="4">
        <v>19.5455566742882</v>
      </c>
      <c r="E7" s="4">
        <v>18.0290606214487</v>
      </c>
      <c r="F7" s="4">
        <v>21.201362819090999</v>
      </c>
    </row>
    <row r="8" spans="1:6" x14ac:dyDescent="0.3">
      <c r="A8">
        <v>2</v>
      </c>
      <c r="B8" t="s">
        <v>3</v>
      </c>
      <c r="C8" t="s">
        <v>16</v>
      </c>
      <c r="D8" s="4">
        <v>36.2192749916954</v>
      </c>
      <c r="E8" s="4">
        <v>35.281377792094702</v>
      </c>
      <c r="F8" s="4">
        <v>37.150947055146901</v>
      </c>
    </row>
    <row r="9" spans="1:6" x14ac:dyDescent="0.3">
      <c r="A9">
        <v>2</v>
      </c>
      <c r="B9" t="s">
        <v>4</v>
      </c>
      <c r="C9" t="s">
        <v>16</v>
      </c>
      <c r="D9" s="4">
        <v>38.125552622837198</v>
      </c>
      <c r="E9" s="4">
        <v>37.138292412731303</v>
      </c>
      <c r="F9" s="4">
        <v>39.106260058049301</v>
      </c>
    </row>
    <row r="10" spans="1:6" x14ac:dyDescent="0.3">
      <c r="A10">
        <v>2</v>
      </c>
      <c r="B10" t="s">
        <v>5</v>
      </c>
      <c r="C10" t="s">
        <v>16</v>
      </c>
      <c r="D10" s="4">
        <v>21.0104195802245</v>
      </c>
      <c r="E10" s="4">
        <v>19.969161604377099</v>
      </c>
      <c r="F10" s="4">
        <v>22.076075641222399</v>
      </c>
    </row>
    <row r="11" spans="1:6" x14ac:dyDescent="0.3">
      <c r="A11">
        <v>2</v>
      </c>
      <c r="B11" t="s">
        <v>6</v>
      </c>
      <c r="C11" t="s">
        <v>16</v>
      </c>
      <c r="D11" s="4">
        <v>21.707324493898199</v>
      </c>
      <c r="E11" s="4">
        <v>20.023123980474899</v>
      </c>
      <c r="F11" s="4">
        <v>23.679216541686401</v>
      </c>
    </row>
    <row r="12" spans="1:6" x14ac:dyDescent="0.3">
      <c r="A12">
        <v>2</v>
      </c>
      <c r="B12" t="s">
        <v>7</v>
      </c>
      <c r="C12" t="s">
        <v>16</v>
      </c>
      <c r="D12" s="4">
        <v>23.878056943288001</v>
      </c>
      <c r="E12" s="4">
        <v>22.0254363785224</v>
      </c>
      <c r="F12" s="4">
        <v>26.047138195855101</v>
      </c>
    </row>
    <row r="13" spans="1:6" x14ac:dyDescent="0.3">
      <c r="A13">
        <v>2</v>
      </c>
      <c r="B13" t="s">
        <v>8</v>
      </c>
      <c r="C13" t="s">
        <v>16</v>
      </c>
      <c r="D13" s="4">
        <v>19.5365920445083</v>
      </c>
      <c r="E13" s="4">
        <v>18.020811582427399</v>
      </c>
      <c r="F13" s="4">
        <v>21.3112948875178</v>
      </c>
    </row>
    <row r="14" spans="1:6" x14ac:dyDescent="0.3">
      <c r="A14">
        <v>3</v>
      </c>
      <c r="B14" t="s">
        <v>3</v>
      </c>
      <c r="C14" t="s">
        <v>17</v>
      </c>
      <c r="D14" s="4">
        <v>32.782120778153299</v>
      </c>
      <c r="E14" s="4">
        <v>31.8798337096996</v>
      </c>
      <c r="F14" s="4">
        <v>33.660990405690903</v>
      </c>
    </row>
    <row r="15" spans="1:6" x14ac:dyDescent="0.3">
      <c r="A15">
        <v>3</v>
      </c>
      <c r="B15" t="s">
        <v>4</v>
      </c>
      <c r="C15" t="s">
        <v>17</v>
      </c>
      <c r="D15" s="4">
        <v>34.507495555950797</v>
      </c>
      <c r="E15" s="4">
        <v>33.557719694420598</v>
      </c>
      <c r="F15" s="4">
        <v>35.432621479674701</v>
      </c>
    </row>
    <row r="16" spans="1:6" x14ac:dyDescent="0.3">
      <c r="A16">
        <v>3</v>
      </c>
      <c r="B16" t="s">
        <v>5</v>
      </c>
      <c r="C16" t="s">
        <v>17</v>
      </c>
      <c r="D16" s="4">
        <v>21.010225796800299</v>
      </c>
      <c r="E16" s="4">
        <v>20.087765410443598</v>
      </c>
      <c r="F16" s="4">
        <v>21.990502419586001</v>
      </c>
    </row>
    <row r="17" spans="1:6" x14ac:dyDescent="0.3">
      <c r="A17">
        <v>3</v>
      </c>
      <c r="B17" t="s">
        <v>6</v>
      </c>
      <c r="C17" t="s">
        <v>17</v>
      </c>
      <c r="D17" s="4">
        <v>21.730283767843801</v>
      </c>
      <c r="E17" s="4">
        <v>19.961167097100201</v>
      </c>
      <c r="F17" s="4">
        <v>23.55783290378</v>
      </c>
    </row>
    <row r="18" spans="1:6" x14ac:dyDescent="0.3">
      <c r="A18">
        <v>3</v>
      </c>
      <c r="B18" t="s">
        <v>7</v>
      </c>
      <c r="C18" t="s">
        <v>17</v>
      </c>
      <c r="D18" s="4">
        <v>23.903312144628199</v>
      </c>
      <c r="E18" s="4">
        <v>21.957283806810199</v>
      </c>
      <c r="F18" s="4">
        <v>25.913616194157999</v>
      </c>
    </row>
    <row r="19" spans="1:6" x14ac:dyDescent="0.3">
      <c r="A19">
        <v>3</v>
      </c>
      <c r="B19" t="s">
        <v>8</v>
      </c>
      <c r="C19" t="s">
        <v>17</v>
      </c>
      <c r="D19" s="4">
        <v>19.5572553910594</v>
      </c>
      <c r="E19" s="4">
        <v>17.9650503873902</v>
      </c>
      <c r="F19" s="4">
        <v>21.202049613402</v>
      </c>
    </row>
    <row r="20" spans="1:6" x14ac:dyDescent="0.3">
      <c r="A20">
        <v>4</v>
      </c>
      <c r="B20" t="s">
        <v>3</v>
      </c>
      <c r="C20" t="s">
        <v>19</v>
      </c>
      <c r="D20" s="4">
        <v>34.491936921024802</v>
      </c>
      <c r="E20" s="4">
        <v>33.643682087536199</v>
      </c>
      <c r="F20" s="4">
        <v>35.398240589147498</v>
      </c>
    </row>
    <row r="21" spans="1:6" x14ac:dyDescent="0.3">
      <c r="A21">
        <v>4</v>
      </c>
      <c r="B21" t="s">
        <v>4</v>
      </c>
      <c r="C21" t="s">
        <v>19</v>
      </c>
      <c r="D21" s="4">
        <v>36.307302022131402</v>
      </c>
      <c r="E21" s="4">
        <v>35.414402197406503</v>
      </c>
      <c r="F21" s="4">
        <v>37.261305883313099</v>
      </c>
    </row>
    <row r="22" spans="1:6" x14ac:dyDescent="0.3">
      <c r="A22">
        <v>4</v>
      </c>
      <c r="B22" t="s">
        <v>5</v>
      </c>
      <c r="C22" t="s">
        <v>19</v>
      </c>
      <c r="D22" s="4">
        <v>22.1005652102113</v>
      </c>
      <c r="E22" s="4">
        <v>21.069751419987501</v>
      </c>
      <c r="F22" s="4">
        <v>23.083577754333</v>
      </c>
    </row>
    <row r="23" spans="1:6" x14ac:dyDescent="0.3">
      <c r="A23">
        <v>4</v>
      </c>
      <c r="B23" t="s">
        <v>6</v>
      </c>
      <c r="C23" t="s">
        <v>19</v>
      </c>
      <c r="D23" s="4">
        <v>22.875190879752299</v>
      </c>
      <c r="E23" s="4">
        <v>21.146367981773899</v>
      </c>
      <c r="F23" s="4">
        <v>24.8249825408883</v>
      </c>
    </row>
    <row r="24" spans="1:6" x14ac:dyDescent="0.3">
      <c r="A24">
        <v>4</v>
      </c>
      <c r="B24" t="s">
        <v>7</v>
      </c>
      <c r="C24" t="s">
        <v>19</v>
      </c>
      <c r="D24" s="4">
        <v>25.162709967727501</v>
      </c>
      <c r="E24" s="4">
        <v>23.2610047799513</v>
      </c>
      <c r="F24" s="4">
        <v>27.307480794977099</v>
      </c>
    </row>
    <row r="25" spans="1:6" x14ac:dyDescent="0.3">
      <c r="A25">
        <v>4</v>
      </c>
      <c r="B25" t="s">
        <v>8</v>
      </c>
      <c r="C25" t="s">
        <v>19</v>
      </c>
      <c r="D25" s="4">
        <v>20.587671791777002</v>
      </c>
      <c r="E25" s="4">
        <v>19.031731183596499</v>
      </c>
      <c r="F25" s="4">
        <v>22.342484286799401</v>
      </c>
    </row>
    <row r="26" spans="1:6" x14ac:dyDescent="0.3">
      <c r="A26">
        <v>5</v>
      </c>
      <c r="B26" t="s">
        <v>3</v>
      </c>
      <c r="C26" t="s">
        <v>20</v>
      </c>
      <c r="D26" s="4">
        <v>34.481771811785698</v>
      </c>
      <c r="E26" s="4">
        <v>33.547260897315901</v>
      </c>
      <c r="F26" s="4">
        <v>35.429207432164297</v>
      </c>
    </row>
    <row r="27" spans="1:6" x14ac:dyDescent="0.3">
      <c r="A27">
        <v>5</v>
      </c>
      <c r="B27" t="s">
        <v>4</v>
      </c>
      <c r="C27" t="s">
        <v>20</v>
      </c>
      <c r="D27" s="4">
        <v>36.296601907142801</v>
      </c>
      <c r="E27" s="4">
        <v>35.312906207700998</v>
      </c>
      <c r="F27" s="4">
        <v>37.293902560172903</v>
      </c>
    </row>
    <row r="28" spans="1:6" x14ac:dyDescent="0.3">
      <c r="A28">
        <v>5</v>
      </c>
      <c r="B28" t="s">
        <v>5</v>
      </c>
      <c r="C28" t="s">
        <v>20</v>
      </c>
      <c r="D28" s="4">
        <v>19.971297842861901</v>
      </c>
      <c r="E28" s="4">
        <v>19.0009608989741</v>
      </c>
      <c r="F28" s="4">
        <v>20.979637047895999</v>
      </c>
    </row>
    <row r="29" spans="1:6" x14ac:dyDescent="0.3">
      <c r="A29">
        <v>5</v>
      </c>
      <c r="B29" t="s">
        <v>6</v>
      </c>
      <c r="C29" t="s">
        <v>20</v>
      </c>
      <c r="D29" s="4">
        <v>20.556119109359599</v>
      </c>
      <c r="E29" s="4">
        <v>18.888046274409</v>
      </c>
      <c r="F29" s="4">
        <v>22.328127632623101</v>
      </c>
    </row>
    <row r="30" spans="1:6" x14ac:dyDescent="0.3">
      <c r="A30">
        <v>5</v>
      </c>
      <c r="B30" t="s">
        <v>7</v>
      </c>
      <c r="C30" t="s">
        <v>20</v>
      </c>
      <c r="D30" s="4">
        <v>22.611731020295601</v>
      </c>
      <c r="E30" s="4">
        <v>20.776850901849901</v>
      </c>
      <c r="F30" s="4">
        <v>24.5609403958854</v>
      </c>
    </row>
    <row r="31" spans="1:6" x14ac:dyDescent="0.3">
      <c r="A31">
        <v>5</v>
      </c>
      <c r="B31" t="s">
        <v>8</v>
      </c>
      <c r="C31" t="s">
        <v>20</v>
      </c>
      <c r="D31" s="4">
        <v>18.500507198423598</v>
      </c>
      <c r="E31" s="4">
        <v>16.999241646968098</v>
      </c>
      <c r="F31" s="4">
        <v>20.095314869360799</v>
      </c>
    </row>
    <row r="32" spans="1:6" x14ac:dyDescent="0.3">
      <c r="D32" s="1"/>
      <c r="E32" s="1"/>
      <c r="F32" s="1"/>
    </row>
    <row r="33" spans="4:6" x14ac:dyDescent="0.3">
      <c r="D33" s="1"/>
      <c r="E33" s="1"/>
      <c r="F33" s="1"/>
    </row>
    <row r="34" spans="4:6" x14ac:dyDescent="0.3">
      <c r="D34" s="1"/>
      <c r="E34" s="1"/>
      <c r="F34" s="1"/>
    </row>
    <row r="35" spans="4:6" x14ac:dyDescent="0.3">
      <c r="D35" s="1"/>
      <c r="E35" s="1"/>
      <c r="F35" s="1"/>
    </row>
    <row r="36" spans="4:6" x14ac:dyDescent="0.3">
      <c r="D36" s="1"/>
      <c r="E36" s="1"/>
      <c r="F36" s="1"/>
    </row>
    <row r="37" spans="4:6" x14ac:dyDescent="0.3">
      <c r="D37" s="1"/>
      <c r="E37" s="1"/>
      <c r="F37" s="1"/>
    </row>
    <row r="38" spans="4:6" x14ac:dyDescent="0.3">
      <c r="D38" s="1"/>
      <c r="E38" s="1"/>
      <c r="F38" s="1"/>
    </row>
    <row r="39" spans="4:6" x14ac:dyDescent="0.3">
      <c r="D39" s="1"/>
      <c r="E39" s="1"/>
      <c r="F39" s="1"/>
    </row>
    <row r="40" spans="4:6" x14ac:dyDescent="0.3">
      <c r="D40" s="1"/>
      <c r="E40" s="1"/>
      <c r="F40" s="1"/>
    </row>
    <row r="41" spans="4:6" x14ac:dyDescent="0.3">
      <c r="D41" s="1"/>
      <c r="E41" s="1"/>
      <c r="F41" s="1"/>
    </row>
    <row r="42" spans="4:6" x14ac:dyDescent="0.3">
      <c r="D42" s="1"/>
      <c r="E42" s="1"/>
      <c r="F42" s="1"/>
    </row>
    <row r="43" spans="4:6" x14ac:dyDescent="0.3">
      <c r="D43" s="1"/>
      <c r="E43" s="1"/>
      <c r="F43" s="1"/>
    </row>
    <row r="44" spans="4:6" x14ac:dyDescent="0.3">
      <c r="D44" s="1"/>
      <c r="E44" s="1"/>
      <c r="F44" s="1"/>
    </row>
    <row r="45" spans="4:6" x14ac:dyDescent="0.3">
      <c r="D45" s="1"/>
      <c r="E45" s="1"/>
      <c r="F45" s="1"/>
    </row>
    <row r="46" spans="4:6" x14ac:dyDescent="0.3">
      <c r="D46" s="1"/>
      <c r="E46" s="1"/>
      <c r="F46" s="1"/>
    </row>
    <row r="47" spans="4:6" x14ac:dyDescent="0.3">
      <c r="D47" s="1"/>
      <c r="E47" s="1"/>
      <c r="F47" s="1"/>
    </row>
    <row r="48" spans="4:6" x14ac:dyDescent="0.3">
      <c r="D48" s="1"/>
      <c r="E48" s="1"/>
      <c r="F48" s="1"/>
    </row>
    <row r="49" spans="4:6" x14ac:dyDescent="0.3">
      <c r="D49" s="1"/>
      <c r="E49" s="1"/>
      <c r="F49" s="1"/>
    </row>
    <row r="50" spans="4:6" x14ac:dyDescent="0.3">
      <c r="D50" s="1"/>
      <c r="E50" s="1"/>
      <c r="F50" s="1"/>
    </row>
    <row r="51" spans="4:6" x14ac:dyDescent="0.3">
      <c r="D51" s="1"/>
      <c r="E51" s="1"/>
      <c r="F51" s="1"/>
    </row>
    <row r="52" spans="4:6" x14ac:dyDescent="0.3">
      <c r="D52" s="1"/>
      <c r="E52" s="1"/>
      <c r="F52" s="1"/>
    </row>
    <row r="53" spans="4:6" x14ac:dyDescent="0.3">
      <c r="D53" s="1"/>
      <c r="E53" s="1"/>
      <c r="F53" s="1"/>
    </row>
    <row r="54" spans="4:6" x14ac:dyDescent="0.3">
      <c r="D54" s="1"/>
      <c r="E54" s="1"/>
      <c r="F54" s="1"/>
    </row>
    <row r="55" spans="4:6" x14ac:dyDescent="0.3">
      <c r="D55" s="1"/>
      <c r="E55" s="1"/>
      <c r="F55" s="1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"/>
  <sheetViews>
    <sheetView workbookViewId="0">
      <selection activeCell="D2" sqref="D2:F16"/>
    </sheetView>
  </sheetViews>
  <sheetFormatPr defaultColWidth="11.5546875" defaultRowHeight="14.4" x14ac:dyDescent="0.3"/>
  <cols>
    <col min="1" max="1" width="5.21875" bestFit="1" customWidth="1"/>
  </cols>
  <sheetData>
    <row r="1" spans="1:6" x14ac:dyDescent="0.3">
      <c r="A1" t="s">
        <v>13</v>
      </c>
      <c r="B1" t="s">
        <v>21</v>
      </c>
      <c r="C1" t="s">
        <v>14</v>
      </c>
      <c r="D1" t="s">
        <v>9</v>
      </c>
      <c r="E1" t="s">
        <v>1</v>
      </c>
      <c r="F1" t="s">
        <v>2</v>
      </c>
    </row>
    <row r="2" spans="1:6" x14ac:dyDescent="0.3">
      <c r="A2">
        <v>1</v>
      </c>
      <c r="B2" t="s">
        <v>10</v>
      </c>
      <c r="C2" t="s">
        <v>15</v>
      </c>
      <c r="D2" s="4">
        <v>65.031328602461798</v>
      </c>
      <c r="E2" s="4">
        <v>58.434660203110802</v>
      </c>
      <c r="F2" s="4">
        <v>70.896297627427899</v>
      </c>
    </row>
    <row r="3" spans="1:6" x14ac:dyDescent="0.3">
      <c r="A3">
        <v>1</v>
      </c>
      <c r="B3" t="s">
        <v>11</v>
      </c>
      <c r="C3" t="s">
        <v>15</v>
      </c>
      <c r="D3" s="4">
        <v>42.494077743677899</v>
      </c>
      <c r="E3" s="4">
        <v>30.982792045147701</v>
      </c>
      <c r="F3" s="4">
        <v>54.081134352718998</v>
      </c>
    </row>
    <row r="4" spans="1:6" x14ac:dyDescent="0.3">
      <c r="A4">
        <v>1</v>
      </c>
      <c r="B4" t="s">
        <v>12</v>
      </c>
      <c r="C4" t="s">
        <v>15</v>
      </c>
      <c r="D4" s="4">
        <v>31.783523501758001</v>
      </c>
      <c r="E4" s="4">
        <v>14.026441552979801</v>
      </c>
      <c r="F4" s="4">
        <v>52.383053088500603</v>
      </c>
    </row>
    <row r="5" spans="1:6" x14ac:dyDescent="0.3">
      <c r="A5">
        <v>2</v>
      </c>
      <c r="B5" t="s">
        <v>10</v>
      </c>
      <c r="C5" t="s">
        <v>16</v>
      </c>
      <c r="D5" s="4">
        <v>65.198764121076806</v>
      </c>
      <c r="E5" s="4">
        <v>49.392639273862201</v>
      </c>
      <c r="F5" s="4">
        <v>71.942828960643794</v>
      </c>
    </row>
    <row r="6" spans="1:6" x14ac:dyDescent="0.3">
      <c r="A6">
        <v>2</v>
      </c>
      <c r="B6" t="s">
        <v>11</v>
      </c>
      <c r="C6" t="s">
        <v>16</v>
      </c>
      <c r="D6" s="4">
        <v>42.477433279038799</v>
      </c>
      <c r="E6" s="4">
        <v>32.212042678204298</v>
      </c>
      <c r="F6" s="4">
        <v>54.243420439010499</v>
      </c>
    </row>
    <row r="7" spans="1:6" x14ac:dyDescent="0.3">
      <c r="A7">
        <v>2</v>
      </c>
      <c r="B7" t="s">
        <v>12</v>
      </c>
      <c r="C7" t="s">
        <v>16</v>
      </c>
      <c r="D7" s="4">
        <v>32.003975049252801</v>
      </c>
      <c r="E7" s="4">
        <v>10.297446118776101</v>
      </c>
      <c r="F7" s="4">
        <v>51.522766356703002</v>
      </c>
    </row>
    <row r="8" spans="1:6" x14ac:dyDescent="0.3">
      <c r="A8">
        <v>3</v>
      </c>
      <c r="B8" t="s">
        <v>10</v>
      </c>
      <c r="C8" t="s">
        <v>17</v>
      </c>
      <c r="D8" s="4">
        <v>65.240632539746997</v>
      </c>
      <c r="E8" s="4">
        <v>58.0109356954638</v>
      </c>
      <c r="F8" s="4">
        <v>70.824995478987503</v>
      </c>
    </row>
    <row r="9" spans="1:6" x14ac:dyDescent="0.3">
      <c r="A9">
        <v>3</v>
      </c>
      <c r="B9" t="s">
        <v>11</v>
      </c>
      <c r="C9" t="s">
        <v>17</v>
      </c>
      <c r="D9" s="4">
        <v>42.699971591719297</v>
      </c>
      <c r="E9" s="4">
        <v>29.000310521374001</v>
      </c>
      <c r="F9" s="4">
        <v>54.272871144756202</v>
      </c>
    </row>
    <row r="10" spans="1:6" x14ac:dyDescent="0.3">
      <c r="A10">
        <v>3</v>
      </c>
      <c r="B10" t="s">
        <v>12</v>
      </c>
      <c r="C10" t="s">
        <v>17</v>
      </c>
      <c r="D10" s="4">
        <v>31.7250440347892</v>
      </c>
      <c r="E10" s="4">
        <v>13.768881381112701</v>
      </c>
      <c r="F10" s="4">
        <v>60.838155544086398</v>
      </c>
    </row>
    <row r="11" spans="1:6" x14ac:dyDescent="0.3">
      <c r="A11">
        <v>4</v>
      </c>
      <c r="B11" t="s">
        <v>10</v>
      </c>
      <c r="C11" t="s">
        <v>19</v>
      </c>
      <c r="D11" s="4">
        <v>53.9957980503047</v>
      </c>
      <c r="E11" s="4">
        <v>36.222388698354898</v>
      </c>
      <c r="F11" s="4">
        <v>65.835528941597104</v>
      </c>
    </row>
    <row r="12" spans="1:6" x14ac:dyDescent="0.3">
      <c r="A12">
        <v>4</v>
      </c>
      <c r="B12" t="s">
        <v>11</v>
      </c>
      <c r="C12" t="s">
        <v>19</v>
      </c>
      <c r="D12" s="4">
        <v>47.736790403431002</v>
      </c>
      <c r="E12" s="4">
        <v>35.015147318260397</v>
      </c>
      <c r="F12" s="4">
        <v>55.349798444367302</v>
      </c>
    </row>
    <row r="13" spans="1:6" x14ac:dyDescent="0.3">
      <c r="A13">
        <v>4</v>
      </c>
      <c r="B13" t="s">
        <v>12</v>
      </c>
      <c r="C13" t="s">
        <v>19</v>
      </c>
      <c r="D13" s="4">
        <v>19.345214915972001</v>
      </c>
      <c r="E13" s="4">
        <v>5.1365264231713796</v>
      </c>
      <c r="F13" s="4">
        <v>38.642534347714999</v>
      </c>
    </row>
    <row r="14" spans="1:6" x14ac:dyDescent="0.3">
      <c r="A14">
        <v>5</v>
      </c>
      <c r="B14" t="s">
        <v>10</v>
      </c>
      <c r="C14" t="s">
        <v>20</v>
      </c>
      <c r="D14" s="4">
        <v>71.002798886689902</v>
      </c>
      <c r="E14" s="4">
        <v>64.447808152175696</v>
      </c>
      <c r="F14" s="4">
        <v>78.113866619951594</v>
      </c>
    </row>
    <row r="15" spans="1:6" x14ac:dyDescent="0.3">
      <c r="A15">
        <v>5</v>
      </c>
      <c r="B15" t="s">
        <v>11</v>
      </c>
      <c r="C15" t="s">
        <v>20</v>
      </c>
      <c r="D15" s="4">
        <v>35.670994140421897</v>
      </c>
      <c r="E15" s="4">
        <v>25.125944251425601</v>
      </c>
      <c r="F15" s="4">
        <v>50.6702662094064</v>
      </c>
    </row>
    <row r="16" spans="1:6" x14ac:dyDescent="0.3">
      <c r="A16">
        <v>5</v>
      </c>
      <c r="B16" t="s">
        <v>12</v>
      </c>
      <c r="C16" t="s">
        <v>20</v>
      </c>
      <c r="D16" s="4">
        <v>47.2581163365804</v>
      </c>
      <c r="E16" s="4">
        <v>22.389688892520901</v>
      </c>
      <c r="F16" s="4">
        <v>67.391550336284098</v>
      </c>
    </row>
    <row r="17" spans="4:6" x14ac:dyDescent="0.3">
      <c r="D17" s="1"/>
      <c r="E17" s="1"/>
      <c r="F17" s="1"/>
    </row>
    <row r="18" spans="4:6" x14ac:dyDescent="0.3">
      <c r="D18" s="1"/>
      <c r="E18" s="1"/>
      <c r="F18" s="1"/>
    </row>
    <row r="19" spans="4:6" x14ac:dyDescent="0.3">
      <c r="D19" s="1"/>
      <c r="E19" s="1"/>
      <c r="F19" s="1"/>
    </row>
    <row r="20" spans="4:6" x14ac:dyDescent="0.3">
      <c r="D20" s="1"/>
      <c r="E20" s="1"/>
      <c r="F20" s="1"/>
    </row>
    <row r="21" spans="4:6" x14ac:dyDescent="0.3">
      <c r="D21" s="1"/>
      <c r="E21" s="1"/>
      <c r="F21" s="1"/>
    </row>
    <row r="22" spans="4:6" x14ac:dyDescent="0.3">
      <c r="D22" s="1"/>
      <c r="E22" s="1"/>
      <c r="F22" s="1"/>
    </row>
    <row r="23" spans="4:6" x14ac:dyDescent="0.3">
      <c r="D23" s="1"/>
      <c r="E23" s="1"/>
      <c r="F23" s="1"/>
    </row>
    <row r="24" spans="4:6" x14ac:dyDescent="0.3">
      <c r="D24" s="1"/>
      <c r="E24" s="1"/>
      <c r="F24" s="1"/>
    </row>
    <row r="25" spans="4:6" x14ac:dyDescent="0.3">
      <c r="D25" s="1"/>
      <c r="E25" s="1"/>
      <c r="F25" s="1"/>
    </row>
    <row r="26" spans="4:6" x14ac:dyDescent="0.3">
      <c r="D26" s="1"/>
      <c r="E26" s="1"/>
      <c r="F26" s="1"/>
    </row>
    <row r="27" spans="4:6" x14ac:dyDescent="0.3">
      <c r="D27" s="1"/>
      <c r="E27" s="1"/>
      <c r="F27" s="1"/>
    </row>
    <row r="28" spans="4:6" x14ac:dyDescent="0.3">
      <c r="D28" s="1"/>
      <c r="E28" s="1"/>
      <c r="F28" s="1"/>
    </row>
    <row r="29" spans="4:6" x14ac:dyDescent="0.3">
      <c r="D29" s="1"/>
      <c r="E29" s="1"/>
      <c r="F29" s="1"/>
    </row>
    <row r="30" spans="4:6" x14ac:dyDescent="0.3">
      <c r="D30" s="1"/>
      <c r="E30" s="1"/>
      <c r="F30" s="1"/>
    </row>
    <row r="31" spans="4:6" x14ac:dyDescent="0.3">
      <c r="D31" s="1"/>
      <c r="E31" s="1"/>
      <c r="F31" s="1"/>
    </row>
    <row r="32" spans="4:6" x14ac:dyDescent="0.3">
      <c r="D32" s="1"/>
      <c r="E32" s="1"/>
      <c r="F32" s="1"/>
    </row>
    <row r="33" spans="4:6" x14ac:dyDescent="0.3">
      <c r="D33" s="1"/>
      <c r="E33" s="1"/>
      <c r="F33" s="1"/>
    </row>
    <row r="34" spans="4:6" x14ac:dyDescent="0.3">
      <c r="D34" s="1"/>
      <c r="E34" s="1"/>
      <c r="F34" s="1"/>
    </row>
    <row r="35" spans="4:6" x14ac:dyDescent="0.3">
      <c r="D35" s="1"/>
      <c r="E35" s="1"/>
      <c r="F35" s="1"/>
    </row>
    <row r="36" spans="4:6" x14ac:dyDescent="0.3">
      <c r="D36" s="1"/>
      <c r="E36" s="1"/>
      <c r="F36" s="1"/>
    </row>
    <row r="37" spans="4:6" x14ac:dyDescent="0.3">
      <c r="D37" s="1"/>
      <c r="E37" s="1"/>
      <c r="F37" s="1"/>
    </row>
    <row r="38" spans="4:6" x14ac:dyDescent="0.3">
      <c r="D38" s="1"/>
      <c r="E38" s="1"/>
      <c r="F38" s="1"/>
    </row>
    <row r="39" spans="4:6" x14ac:dyDescent="0.3">
      <c r="D39" s="1"/>
      <c r="E39" s="1"/>
      <c r="F39" s="1"/>
    </row>
    <row r="40" spans="4:6" x14ac:dyDescent="0.3">
      <c r="D40" s="1"/>
      <c r="E40" s="1"/>
      <c r="F40" s="1"/>
    </row>
    <row r="41" spans="4:6" x14ac:dyDescent="0.3">
      <c r="D41" s="1"/>
      <c r="E41" s="1"/>
      <c r="F41" s="1"/>
    </row>
    <row r="42" spans="4:6" x14ac:dyDescent="0.3">
      <c r="D42" s="1"/>
      <c r="E42" s="1"/>
      <c r="F42" s="1"/>
    </row>
    <row r="43" spans="4:6" x14ac:dyDescent="0.3">
      <c r="D43" s="1"/>
      <c r="E43" s="1"/>
      <c r="F43" s="1"/>
    </row>
    <row r="44" spans="4:6" x14ac:dyDescent="0.3">
      <c r="D44" s="1"/>
      <c r="E44" s="1"/>
      <c r="F44" s="1"/>
    </row>
    <row r="45" spans="4:6" x14ac:dyDescent="0.3">
      <c r="D45" s="1"/>
      <c r="E45" s="1"/>
      <c r="F45" s="1"/>
    </row>
    <row r="46" spans="4:6" x14ac:dyDescent="0.3">
      <c r="D46" s="1"/>
      <c r="E46" s="1"/>
      <c r="F46" s="1"/>
    </row>
    <row r="47" spans="4:6" x14ac:dyDescent="0.3">
      <c r="D47" s="1"/>
      <c r="E47" s="1"/>
      <c r="F47" s="1"/>
    </row>
    <row r="48" spans="4:6" x14ac:dyDescent="0.3">
      <c r="D48" s="1"/>
      <c r="E48" s="1"/>
      <c r="F48" s="1"/>
    </row>
    <row r="49" spans="4:6" x14ac:dyDescent="0.3">
      <c r="D49" s="1"/>
      <c r="E49" s="1"/>
      <c r="F49" s="1"/>
    </row>
    <row r="50" spans="4:6" x14ac:dyDescent="0.3">
      <c r="D50" s="1"/>
      <c r="E50" s="1"/>
      <c r="F50" s="1"/>
    </row>
    <row r="51" spans="4:6" x14ac:dyDescent="0.3">
      <c r="D51" s="1"/>
      <c r="E51" s="1"/>
      <c r="F51" s="1"/>
    </row>
    <row r="52" spans="4:6" x14ac:dyDescent="0.3">
      <c r="D52" s="1"/>
      <c r="E52" s="1"/>
      <c r="F52" s="1"/>
    </row>
    <row r="53" spans="4:6" x14ac:dyDescent="0.3">
      <c r="D53" s="1"/>
      <c r="E53" s="1"/>
      <c r="F53" s="1"/>
    </row>
    <row r="54" spans="4:6" x14ac:dyDescent="0.3">
      <c r="D54" s="1"/>
      <c r="E54" s="1"/>
      <c r="F54" s="1"/>
    </row>
    <row r="55" spans="4:6" x14ac:dyDescent="0.3">
      <c r="D55" s="1"/>
      <c r="E55" s="1"/>
      <c r="F55" s="1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1099-8237-485D-B578-E5A54C1E34AE}">
  <dimension ref="A1:I6"/>
  <sheetViews>
    <sheetView tabSelected="1" workbookViewId="0">
      <selection activeCell="F6" sqref="F6"/>
    </sheetView>
  </sheetViews>
  <sheetFormatPr defaultRowHeight="14.4" x14ac:dyDescent="0.3"/>
  <sheetData>
    <row r="1" spans="1:9" ht="43.2" x14ac:dyDescent="0.3">
      <c r="A1" s="2" t="s">
        <v>22</v>
      </c>
      <c r="B1" s="2" t="s">
        <v>23</v>
      </c>
      <c r="C1" s="2" t="s">
        <v>18</v>
      </c>
      <c r="D1" s="2" t="s">
        <v>24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</row>
    <row r="2" spans="1:9" ht="28.8" x14ac:dyDescent="0.3">
      <c r="A2" s="3" t="s">
        <v>15</v>
      </c>
      <c r="B2" s="3" t="s">
        <v>27</v>
      </c>
      <c r="C2" s="3">
        <v>0.97</v>
      </c>
      <c r="D2" s="3">
        <v>139.31</v>
      </c>
      <c r="E2">
        <v>65.031328602461798</v>
      </c>
      <c r="F2">
        <v>42.494077743677899</v>
      </c>
      <c r="G2">
        <v>31.783523501758001</v>
      </c>
      <c r="H2" s="3">
        <v>100</v>
      </c>
      <c r="I2" s="3">
        <v>100</v>
      </c>
    </row>
    <row r="3" spans="1:9" x14ac:dyDescent="0.3">
      <c r="A3" s="3" t="s">
        <v>28</v>
      </c>
      <c r="B3" s="3" t="s">
        <v>31</v>
      </c>
      <c r="C3" s="3">
        <v>0.97</v>
      </c>
      <c r="D3" s="3">
        <v>139.68</v>
      </c>
      <c r="E3">
        <v>65.198764121076806</v>
      </c>
      <c r="F3">
        <v>42.477433279038799</v>
      </c>
      <c r="G3">
        <v>32.003975049252801</v>
      </c>
      <c r="H3" s="3">
        <v>100</v>
      </c>
      <c r="I3" s="3">
        <v>100</v>
      </c>
    </row>
    <row r="4" spans="1:9" x14ac:dyDescent="0.3">
      <c r="A4" s="3" t="s">
        <v>30</v>
      </c>
      <c r="B4" s="3" t="s">
        <v>29</v>
      </c>
      <c r="C4" s="3">
        <v>0.97</v>
      </c>
      <c r="D4" s="3">
        <v>139.66999999999999</v>
      </c>
      <c r="E4">
        <v>65.240632539746997</v>
      </c>
      <c r="F4">
        <v>42.699971591719297</v>
      </c>
      <c r="G4">
        <v>31.7250440347892</v>
      </c>
      <c r="H4" s="3">
        <v>100</v>
      </c>
      <c r="I4" s="3">
        <v>100</v>
      </c>
    </row>
    <row r="5" spans="1:9" ht="28.8" x14ac:dyDescent="0.3">
      <c r="A5" s="3" t="s">
        <v>32</v>
      </c>
      <c r="B5" s="3" t="s">
        <v>34</v>
      </c>
      <c r="C5" s="3">
        <v>0.97</v>
      </c>
      <c r="D5" s="3">
        <v>121.07</v>
      </c>
      <c r="E5">
        <v>53.9957980503047</v>
      </c>
      <c r="F5">
        <v>47.736790403431002</v>
      </c>
      <c r="G5">
        <v>19.345214915972001</v>
      </c>
      <c r="H5" s="3">
        <v>100</v>
      </c>
      <c r="I5" s="3">
        <v>100</v>
      </c>
    </row>
    <row r="6" spans="1:9" x14ac:dyDescent="0.3">
      <c r="A6" s="3" t="s">
        <v>33</v>
      </c>
      <c r="B6" s="3" t="s">
        <v>44</v>
      </c>
      <c r="C6" s="3">
        <v>0.97</v>
      </c>
      <c r="D6" s="3">
        <v>153.93</v>
      </c>
      <c r="E6">
        <v>71.002798886689902</v>
      </c>
      <c r="F6">
        <v>35.670994140421897</v>
      </c>
      <c r="G6">
        <v>47.2581163365804</v>
      </c>
      <c r="H6" s="3">
        <v>100</v>
      </c>
      <c r="I6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parameters</vt:lpstr>
      <vt:lpstr>Length_Parameters</vt:lpstr>
      <vt:lpstr>Froese_Indicators</vt:lpstr>
      <vt:lpstr>Prob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2025-06-27T11:58:04Z</dcterms:created>
  <dcterms:modified xsi:type="dcterms:W3CDTF">2026-02-05T21:14:16Z</dcterms:modified>
</cp:coreProperties>
</file>