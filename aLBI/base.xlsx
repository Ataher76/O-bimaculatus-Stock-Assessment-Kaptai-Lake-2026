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 Work\Saheen sir\Nirjhor 18-19\Data Analysis\aLBI\"/>
    </mc:Choice>
  </mc:AlternateContent>
  <xr:revisionPtr revIDLastSave="0" documentId="13_ncr:1_{8BAE8493-FC3D-4060-B972-5D1A69FA8FE5}" xr6:coauthVersionLast="47" xr6:coauthVersionMax="47" xr10:uidLastSave="{00000000-0000-0000-0000-000000000000}"/>
  <bookViews>
    <workbookView xWindow="-96" yWindow="0" windowWidth="9036" windowHeight="12336" firstSheet="1" activeTab="1" xr2:uid="{00000000-000D-0000-FFFF-FFFF00000000}"/>
  </bookViews>
  <sheets>
    <sheet name="Length_Parameters" sheetId="1" r:id="rId1"/>
    <sheet name="Froese_Indicators" sheetId="2" r:id="rId2"/>
    <sheet name="Target_vs_Catch" sheetId="3" r:id="rId3"/>
    <sheet name="outputs" sheetId="4" r:id="rId4"/>
  </sheets>
  <calcPr calcId="191029"/>
</workbook>
</file>

<file path=xl/calcChain.xml><?xml version="1.0" encoding="utf-8"?>
<calcChain xmlns="http://schemas.openxmlformats.org/spreadsheetml/2006/main">
  <c r="I49" i="2" l="1"/>
  <c r="I50" i="2"/>
  <c r="I51" i="2"/>
  <c r="I52" i="2"/>
  <c r="I48" i="2"/>
  <c r="C50" i="2"/>
  <c r="C49" i="2"/>
  <c r="D52" i="2"/>
  <c r="D51" i="2"/>
  <c r="I16" i="2"/>
  <c r="C35" i="2"/>
  <c r="B9" i="4"/>
  <c r="D32" i="2"/>
  <c r="C32" i="2"/>
  <c r="I15" i="2"/>
  <c r="K21" i="2"/>
  <c r="K20" i="2"/>
  <c r="K19" i="2"/>
  <c r="K18" i="2"/>
  <c r="J21" i="2"/>
  <c r="J20" i="2"/>
  <c r="J19" i="2"/>
  <c r="J18" i="2"/>
  <c r="I21" i="2"/>
  <c r="I20" i="2"/>
  <c r="I19" i="2"/>
  <c r="I18" i="2"/>
  <c r="R7" i="2"/>
  <c r="Q7" i="2"/>
  <c r="P7" i="2"/>
  <c r="R6" i="2"/>
  <c r="Q6" i="2"/>
  <c r="P6" i="2"/>
  <c r="K16" i="2"/>
  <c r="K15" i="2"/>
  <c r="J16" i="2"/>
  <c r="J15" i="2"/>
  <c r="F24" i="2"/>
  <c r="E24" i="2"/>
  <c r="D24" i="2"/>
  <c r="D25" i="2"/>
  <c r="E25" i="2"/>
  <c r="F25" i="2"/>
  <c r="F26" i="2"/>
  <c r="E26" i="2"/>
  <c r="D26" i="2"/>
</calcChain>
</file>

<file path=xl/sharedStrings.xml><?xml version="1.0" encoding="utf-8"?>
<sst xmlns="http://schemas.openxmlformats.org/spreadsheetml/2006/main" count="201" uniqueCount="59">
  <si>
    <t>Parameters</t>
  </si>
  <si>
    <t>Mean_estimate</t>
  </si>
  <si>
    <t>Lower_CI</t>
  </si>
  <si>
    <t>Upper_CI</t>
  </si>
  <si>
    <t>Lmax</t>
  </si>
  <si>
    <t>Linf</t>
  </si>
  <si>
    <t>Lmat</t>
  </si>
  <si>
    <t>Lopt</t>
  </si>
  <si>
    <t>Lopt_p10</t>
  </si>
  <si>
    <t>Lopt_m10</t>
  </si>
  <si>
    <t>Mean_froese</t>
  </si>
  <si>
    <t>Pmat</t>
  </si>
  <si>
    <t>Popt</t>
  </si>
  <si>
    <t>Pmega</t>
  </si>
  <si>
    <t>Froese_catch</t>
  </si>
  <si>
    <t>Froese_tar</t>
  </si>
  <si>
    <t>Scenario</t>
  </si>
  <si>
    <t>BM</t>
  </si>
  <si>
    <t>LmatP</t>
  </si>
  <si>
    <t>LmatM</t>
  </si>
  <si>
    <t>LinfP</t>
  </si>
  <si>
    <t>LinfM</t>
  </si>
  <si>
    <t>Max</t>
  </si>
  <si>
    <t>Min</t>
  </si>
  <si>
    <t>Avg</t>
  </si>
  <si>
    <t>Par</t>
  </si>
  <si>
    <t>Sc</t>
  </si>
  <si>
    <t>Deviation (+)</t>
  </si>
  <si>
    <t>Deviation (-)</t>
  </si>
  <si>
    <t>max</t>
  </si>
  <si>
    <t>min</t>
  </si>
  <si>
    <t>Base</t>
  </si>
  <si>
    <t>20%+</t>
  </si>
  <si>
    <t>20%-</t>
  </si>
  <si>
    <t>10%+</t>
  </si>
  <si>
    <t>Description</t>
  </si>
  <si>
    <t>L∞ (cm)</t>
  </si>
  <si>
    <t>Lmat (cm)</t>
  </si>
  <si>
    <t>Base model</t>
  </si>
  <si>
    <t>S1</t>
  </si>
  <si>
    <t>L∞ +5%</t>
  </si>
  <si>
    <t>—</t>
  </si>
  <si>
    <t>S2</t>
  </si>
  <si>
    <t>L∞ −5%</t>
  </si>
  <si>
    <t>S3</t>
  </si>
  <si>
    <t>Lₘₐₜ +5%</t>
  </si>
  <si>
    <t>S4</t>
  </si>
  <si>
    <t>Lₘₐₜ −5%</t>
  </si>
  <si>
    <t>Pmega (%)</t>
  </si>
  <si>
    <t>Prob &lt; TSB40 (%)</t>
  </si>
  <si>
    <t>Prob &lt; LSB25 (%)</t>
  </si>
  <si>
    <t>Pmat (%)</t>
  </si>
  <si>
    <t>Popt (%)</t>
  </si>
  <si>
    <t>LM_ratio</t>
  </si>
  <si>
    <t>L∞ +15%</t>
  </si>
  <si>
    <t>L∞ −15%</t>
  </si>
  <si>
    <t>Lₘₐₜ +15%</t>
  </si>
  <si>
    <t>Lₘₐₜ −15%</t>
  </si>
  <si>
    <t>Pobj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</si>
</sst>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0" fontId="1" fillId="0" borderId="0" xfId="0" applyFont="1"/>
    <xf numFmtId="2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2" fontId="1" fillId="0" borderId="0" xfId="0" applyNumberFormat="1" applyFont="1"/>
    <xf numFmtId="0" fontId="3" fillId="0" borderId="0" xfId="0" applyFont="1"/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ColWidth="11.5546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34.484199717919402</v>
      </c>
      <c r="C2">
        <v>33.571420967745603</v>
      </c>
      <c r="D2">
        <v>35.396805810300499</v>
      </c>
    </row>
    <row r="3" spans="1:4" x14ac:dyDescent="0.3">
      <c r="A3" t="s">
        <v>5</v>
      </c>
      <c r="B3">
        <v>36.299157597809902</v>
      </c>
      <c r="C3">
        <v>35.338337860784897</v>
      </c>
      <c r="D3">
        <v>37.259795589790002</v>
      </c>
    </row>
    <row r="4" spans="1:4" x14ac:dyDescent="0.3">
      <c r="A4" t="s">
        <v>6</v>
      </c>
      <c r="B4">
        <v>21.017887764352999</v>
      </c>
      <c r="C4">
        <v>20.088457867181699</v>
      </c>
      <c r="D4">
        <v>21.9771356720452</v>
      </c>
    </row>
    <row r="5" spans="1:4" x14ac:dyDescent="0.3">
      <c r="A5" t="s">
        <v>7</v>
      </c>
      <c r="B5">
        <v>21.673927144952099</v>
      </c>
      <c r="C5">
        <v>19.943484359072102</v>
      </c>
      <c r="D5">
        <v>23.4500330285945</v>
      </c>
    </row>
    <row r="6" spans="1:4" x14ac:dyDescent="0.3">
      <c r="A6" t="s">
        <v>8</v>
      </c>
      <c r="B6">
        <v>23.841319859447299</v>
      </c>
      <c r="C6">
        <v>21.9378327949794</v>
      </c>
      <c r="D6">
        <v>25.7950363314539</v>
      </c>
    </row>
    <row r="7" spans="1:4" x14ac:dyDescent="0.3">
      <c r="A7" t="s">
        <v>9</v>
      </c>
      <c r="B7">
        <v>19.506534430456899</v>
      </c>
      <c r="C7">
        <v>17.949135923164899</v>
      </c>
      <c r="D7">
        <v>21.105029725735001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60"/>
  <sheetViews>
    <sheetView tabSelected="1" topLeftCell="D29" zoomScale="64" zoomScaleNormal="100" workbookViewId="0">
      <selection activeCell="A55" sqref="A55:K60"/>
    </sheetView>
  </sheetViews>
  <sheetFormatPr defaultColWidth="11.5546875" defaultRowHeight="14.4" x14ac:dyDescent="0.3"/>
  <cols>
    <col min="3" max="3" width="11.5546875" style="5"/>
    <col min="7" max="7" width="11.5546875" style="13"/>
    <col min="8" max="8" width="11.5546875" style="7"/>
    <col min="9" max="9" width="14.77734375" style="5" bestFit="1" customWidth="1"/>
    <col min="10" max="10" width="14.6640625" style="5" bestFit="1" customWidth="1"/>
    <col min="11" max="11" width="10.109375" style="5" customWidth="1"/>
  </cols>
  <sheetData>
    <row r="1" spans="1:32" s="6" customFormat="1" x14ac:dyDescent="0.3">
      <c r="A1" s="6" t="s">
        <v>0</v>
      </c>
      <c r="B1" s="6" t="s">
        <v>16</v>
      </c>
      <c r="C1" s="7" t="s">
        <v>10</v>
      </c>
      <c r="D1" s="6" t="s">
        <v>2</v>
      </c>
      <c r="E1" s="6" t="s">
        <v>3</v>
      </c>
      <c r="G1" s="13"/>
      <c r="H1" s="7"/>
      <c r="I1" s="7"/>
      <c r="J1" s="7"/>
      <c r="K1" s="7"/>
    </row>
    <row r="2" spans="1:32" x14ac:dyDescent="0.3">
      <c r="A2" t="s">
        <v>11</v>
      </c>
      <c r="B2" t="s">
        <v>17</v>
      </c>
      <c r="C2" s="2">
        <v>65.296859804314295</v>
      </c>
      <c r="D2" s="2">
        <v>59.437444952505402</v>
      </c>
      <c r="E2" s="2">
        <v>71.442197308386</v>
      </c>
      <c r="L2" s="6"/>
      <c r="M2" s="6"/>
      <c r="N2" s="7"/>
      <c r="O2" s="6"/>
      <c r="P2" s="6"/>
      <c r="Q2" s="6"/>
    </row>
    <row r="3" spans="1:32" x14ac:dyDescent="0.3">
      <c r="A3" t="s">
        <v>12</v>
      </c>
      <c r="B3" t="s">
        <v>17</v>
      </c>
      <c r="C3" s="2">
        <v>42.169248968317</v>
      </c>
      <c r="D3" s="2">
        <v>29.306544096634099</v>
      </c>
      <c r="E3" s="2">
        <v>54.422551189635797</v>
      </c>
      <c r="N3" s="2"/>
      <c r="O3" s="2"/>
      <c r="P3" s="6"/>
      <c r="Q3" s="6"/>
      <c r="W3" s="3"/>
      <c r="Z3" s="3"/>
      <c r="AC3" s="3"/>
      <c r="AF3" s="3"/>
    </row>
    <row r="4" spans="1:32" s="3" customFormat="1" x14ac:dyDescent="0.3">
      <c r="A4" s="3" t="s">
        <v>13</v>
      </c>
      <c r="B4" s="3" t="s">
        <v>17</v>
      </c>
      <c r="C4" s="4">
        <v>32.423548581850802</v>
      </c>
      <c r="D4" s="4">
        <v>13.849990049817199</v>
      </c>
      <c r="E4" s="4">
        <v>60.794258952628802</v>
      </c>
      <c r="G4" s="14"/>
      <c r="H4" s="7" t="s">
        <v>26</v>
      </c>
      <c r="I4" s="7" t="s">
        <v>11</v>
      </c>
      <c r="J4" s="7" t="s">
        <v>12</v>
      </c>
      <c r="K4" s="11" t="s">
        <v>13</v>
      </c>
      <c r="L4"/>
      <c r="M4"/>
      <c r="N4" s="2"/>
      <c r="O4" s="2"/>
      <c r="P4" s="6"/>
      <c r="U4"/>
      <c r="V4"/>
      <c r="X4"/>
      <c r="Y4"/>
      <c r="AA4"/>
      <c r="AB4"/>
      <c r="AD4"/>
      <c r="AE4"/>
    </row>
    <row r="5" spans="1:32" x14ac:dyDescent="0.3">
      <c r="A5" t="s">
        <v>11</v>
      </c>
      <c r="B5" t="s">
        <v>18</v>
      </c>
      <c r="C5" s="2">
        <v>54.202301564833</v>
      </c>
      <c r="D5" s="2">
        <v>37.064026039530603</v>
      </c>
      <c r="E5" s="2">
        <v>65.986447679402104</v>
      </c>
      <c r="H5" s="7" t="s">
        <v>17</v>
      </c>
      <c r="I5" s="2">
        <v>65.296859804314295</v>
      </c>
      <c r="J5" s="2">
        <v>42.169248968317</v>
      </c>
      <c r="K5" s="4">
        <v>32.423548581850802</v>
      </c>
      <c r="L5" s="3"/>
      <c r="M5" s="3"/>
      <c r="N5" s="4"/>
      <c r="O5" s="4"/>
      <c r="P5" s="7"/>
      <c r="U5" s="2"/>
      <c r="V5" s="2"/>
      <c r="W5" s="4"/>
    </row>
    <row r="6" spans="1:32" x14ac:dyDescent="0.3">
      <c r="A6" t="s">
        <v>12</v>
      </c>
      <c r="B6" t="s">
        <v>18</v>
      </c>
      <c r="C6" s="2">
        <v>47.551790840106896</v>
      </c>
      <c r="D6" s="2">
        <v>34.5792766316194</v>
      </c>
      <c r="E6" s="2">
        <v>55.400670350167204</v>
      </c>
      <c r="H6" s="7" t="s">
        <v>18</v>
      </c>
      <c r="I6" s="2">
        <v>54.202301564833</v>
      </c>
      <c r="J6" s="2">
        <v>47.551790840106896</v>
      </c>
      <c r="K6" s="4">
        <v>19.776345737457</v>
      </c>
      <c r="N6" s="2"/>
      <c r="O6" s="7" t="s">
        <v>27</v>
      </c>
      <c r="P6" s="1" t="e">
        <f>#REF!-P3</f>
        <v>#REF!</v>
      </c>
      <c r="Q6" s="1" t="e">
        <f>#REF!-Q3</f>
        <v>#REF!</v>
      </c>
      <c r="R6" s="1" t="e">
        <f>#REF!-R3</f>
        <v>#REF!</v>
      </c>
    </row>
    <row r="7" spans="1:32" s="3" customFormat="1" x14ac:dyDescent="0.3">
      <c r="A7" s="3" t="s">
        <v>13</v>
      </c>
      <c r="B7" s="3" t="s">
        <v>18</v>
      </c>
      <c r="C7" s="4">
        <v>19.776345737457</v>
      </c>
      <c r="D7" s="4">
        <v>4.7764768554138604</v>
      </c>
      <c r="E7" s="4">
        <v>45.748149219050497</v>
      </c>
      <c r="G7" s="14"/>
      <c r="H7" s="7" t="s">
        <v>19</v>
      </c>
      <c r="I7" s="2">
        <v>71.051144190000002</v>
      </c>
      <c r="J7" s="2">
        <v>35.189802890000003</v>
      </c>
      <c r="K7" s="4">
        <v>47.894541330000003</v>
      </c>
      <c r="L7"/>
      <c r="M7"/>
      <c r="N7" s="2"/>
      <c r="O7" s="7" t="s">
        <v>27</v>
      </c>
      <c r="P7" s="8" t="e">
        <f>#REF!-P4</f>
        <v>#REF!</v>
      </c>
      <c r="Q7" s="8" t="e">
        <f>#REF!-Q4</f>
        <v>#REF!</v>
      </c>
      <c r="R7" s="8" t="e">
        <f>#REF!-R4</f>
        <v>#REF!</v>
      </c>
    </row>
    <row r="8" spans="1:32" x14ac:dyDescent="0.3">
      <c r="A8" t="s">
        <v>11</v>
      </c>
      <c r="B8" t="s">
        <v>19</v>
      </c>
      <c r="C8" s="2">
        <v>71.051144190000002</v>
      </c>
      <c r="D8" s="2">
        <v>64.931576089999993</v>
      </c>
      <c r="E8" s="2">
        <v>82.862777679999994</v>
      </c>
      <c r="H8" s="7" t="s">
        <v>20</v>
      </c>
      <c r="I8" s="2">
        <v>64.868022904750703</v>
      </c>
      <c r="J8" s="2">
        <v>42.693934555164397</v>
      </c>
      <c r="K8" s="4">
        <v>31.785528136366299</v>
      </c>
      <c r="L8" s="3"/>
      <c r="M8" s="3"/>
      <c r="N8" s="4"/>
      <c r="O8" s="4">
        <v>-5.7542843856857075</v>
      </c>
      <c r="P8" s="4">
        <v>-5.382541871789897</v>
      </c>
      <c r="Q8">
        <v>-15.4709927481492</v>
      </c>
    </row>
    <row r="9" spans="1:32" x14ac:dyDescent="0.3">
      <c r="A9" t="s">
        <v>12</v>
      </c>
      <c r="B9" t="s">
        <v>19</v>
      </c>
      <c r="C9" s="2">
        <v>35.189802890000003</v>
      </c>
      <c r="D9" s="2">
        <v>23.444139509999999</v>
      </c>
      <c r="E9" s="2">
        <v>51.10021811</v>
      </c>
      <c r="H9" s="7" t="s">
        <v>21</v>
      </c>
      <c r="I9" s="2">
        <v>65.102089557572597</v>
      </c>
      <c r="J9" s="2">
        <v>42.651631359699302</v>
      </c>
      <c r="K9" s="4">
        <v>31.838390426558501</v>
      </c>
      <c r="N9" s="2"/>
      <c r="O9" s="2">
        <v>11.094558239481294</v>
      </c>
      <c r="P9" s="2">
        <v>6.9794460783169967</v>
      </c>
      <c r="Q9">
        <v>12.647202844393803</v>
      </c>
    </row>
    <row r="10" spans="1:32" s="3" customFormat="1" x14ac:dyDescent="0.3">
      <c r="A10" s="3" t="s">
        <v>13</v>
      </c>
      <c r="B10" s="3" t="s">
        <v>19</v>
      </c>
      <c r="C10" s="4">
        <v>47.894541330000003</v>
      </c>
      <c r="D10" s="4">
        <v>22.166153309999999</v>
      </c>
      <c r="E10" s="4">
        <v>68.908535310000005</v>
      </c>
      <c r="G10" s="14"/>
      <c r="H10" s="11"/>
      <c r="I10" s="12"/>
      <c r="J10" s="12"/>
      <c r="K10" s="12"/>
      <c r="L10"/>
      <c r="M10"/>
      <c r="N10" s="2"/>
      <c r="O10" s="2"/>
      <c r="P10" s="2"/>
      <c r="Q10" s="2"/>
    </row>
    <row r="11" spans="1:32" x14ac:dyDescent="0.3">
      <c r="A11" t="s">
        <v>11</v>
      </c>
      <c r="B11" t="s">
        <v>20</v>
      </c>
      <c r="C11" s="2">
        <v>64.868022904750703</v>
      </c>
      <c r="D11" s="2">
        <v>48.457407605911797</v>
      </c>
      <c r="E11" s="2">
        <v>71.148757369020601</v>
      </c>
      <c r="H11" s="11" t="s">
        <v>25</v>
      </c>
      <c r="I11" s="7" t="s">
        <v>11</v>
      </c>
      <c r="J11" s="7" t="s">
        <v>12</v>
      </c>
      <c r="K11" s="11" t="s">
        <v>13</v>
      </c>
      <c r="L11" s="3"/>
      <c r="M11" s="3"/>
      <c r="N11" s="4"/>
      <c r="O11" s="4"/>
      <c r="P11" s="4"/>
      <c r="Q11" s="4"/>
    </row>
    <row r="12" spans="1:32" x14ac:dyDescent="0.3">
      <c r="A12" t="s">
        <v>12</v>
      </c>
      <c r="B12" t="s">
        <v>20</v>
      </c>
      <c r="C12" s="2">
        <v>42.693934555164397</v>
      </c>
      <c r="D12" s="2">
        <v>28.939526496716699</v>
      </c>
      <c r="E12" s="2">
        <v>54.060103338087202</v>
      </c>
      <c r="H12" s="10" t="s">
        <v>22</v>
      </c>
      <c r="I12" s="2">
        <v>71.051144190000002</v>
      </c>
      <c r="J12" s="2">
        <v>47.551790840106896</v>
      </c>
      <c r="K12" s="4">
        <v>47.894541330000003</v>
      </c>
      <c r="N12" s="2"/>
      <c r="O12" s="2"/>
      <c r="P12" s="2"/>
      <c r="Q12" s="2"/>
    </row>
    <row r="13" spans="1:32" s="3" customFormat="1" x14ac:dyDescent="0.3">
      <c r="A13" s="3" t="s">
        <v>13</v>
      </c>
      <c r="B13" s="3" t="s">
        <v>20</v>
      </c>
      <c r="C13" s="4">
        <v>31.785528136366299</v>
      </c>
      <c r="D13" s="4">
        <v>13.5913793481448</v>
      </c>
      <c r="E13" s="4">
        <v>61.351402620781897</v>
      </c>
      <c r="G13" s="14"/>
      <c r="H13" s="10" t="s">
        <v>23</v>
      </c>
      <c r="I13" s="2">
        <v>54.202301564833</v>
      </c>
      <c r="J13" s="2">
        <v>35.189802890000003</v>
      </c>
      <c r="K13" s="4">
        <v>19.776345737457</v>
      </c>
      <c r="L13"/>
      <c r="M13"/>
      <c r="N13" s="2"/>
      <c r="O13" s="2"/>
      <c r="P13" s="2"/>
      <c r="Q13" s="2"/>
    </row>
    <row r="14" spans="1:32" x14ac:dyDescent="0.3">
      <c r="A14" t="s">
        <v>11</v>
      </c>
      <c r="B14" t="s">
        <v>21</v>
      </c>
      <c r="C14" s="2">
        <v>65.102089557572597</v>
      </c>
      <c r="D14" s="2">
        <v>59.401274210191403</v>
      </c>
      <c r="E14" s="2">
        <v>71.233327118892106</v>
      </c>
      <c r="H14" s="10" t="s">
        <v>24</v>
      </c>
      <c r="I14" s="2">
        <v>64.104083604294118</v>
      </c>
      <c r="J14" s="2">
        <v>42.051281722657521</v>
      </c>
      <c r="K14" s="4">
        <v>32.743670842446519</v>
      </c>
      <c r="L14" s="3"/>
      <c r="M14" s="3"/>
      <c r="N14" s="4"/>
      <c r="O14" s="4"/>
      <c r="P14" s="4"/>
      <c r="Q14" s="4"/>
    </row>
    <row r="15" spans="1:32" x14ac:dyDescent="0.3">
      <c r="A15" t="s">
        <v>12</v>
      </c>
      <c r="B15" t="s">
        <v>21</v>
      </c>
      <c r="C15" s="2">
        <v>42.651631359699302</v>
      </c>
      <c r="D15" s="2">
        <v>31.0960429377003</v>
      </c>
      <c r="E15" s="2">
        <v>54.133418836309801</v>
      </c>
      <c r="G15" s="13" t="s">
        <v>30</v>
      </c>
      <c r="H15" s="7" t="s">
        <v>28</v>
      </c>
      <c r="I15" s="2">
        <f>I5-I12</f>
        <v>-5.7542843856857075</v>
      </c>
      <c r="J15" s="2">
        <f>J5-J12</f>
        <v>-5.382541871789897</v>
      </c>
      <c r="K15" s="2">
        <f>K5-K12</f>
        <v>-15.4709927481492</v>
      </c>
      <c r="N15" s="2"/>
      <c r="O15" s="2"/>
      <c r="P15" s="2"/>
      <c r="Q15" s="2"/>
    </row>
    <row r="16" spans="1:32" s="3" customFormat="1" x14ac:dyDescent="0.3">
      <c r="A16" s="3" t="s">
        <v>13</v>
      </c>
      <c r="B16" s="3" t="s">
        <v>21</v>
      </c>
      <c r="C16" s="4">
        <v>31.838390426558501</v>
      </c>
      <c r="D16" s="4">
        <v>13.843717832680801</v>
      </c>
      <c r="E16" s="4">
        <v>52.153611723062902</v>
      </c>
      <c r="G16" s="14" t="s">
        <v>29</v>
      </c>
      <c r="H16" s="7" t="s">
        <v>27</v>
      </c>
      <c r="I16" s="4">
        <f>((I5-I13)/I5)*100</f>
        <v>16.99095220310771</v>
      </c>
      <c r="J16" s="4">
        <f>J5-J13</f>
        <v>6.9794460783169967</v>
      </c>
      <c r="K16" s="4">
        <f>K5-K13</f>
        <v>12.647202844393803</v>
      </c>
      <c r="L16"/>
      <c r="M16"/>
      <c r="N16" s="2"/>
      <c r="O16" s="2"/>
      <c r="P16" s="2"/>
      <c r="Q16" s="2"/>
    </row>
    <row r="17" spans="1:17" x14ac:dyDescent="0.3">
      <c r="G17" s="13" t="s">
        <v>26</v>
      </c>
      <c r="I17" s="2"/>
      <c r="J17" s="2"/>
      <c r="K17" s="2"/>
      <c r="L17" s="3"/>
      <c r="Q17" s="4"/>
    </row>
    <row r="18" spans="1:17" x14ac:dyDescent="0.3">
      <c r="B18" s="6"/>
      <c r="C18" s="2"/>
      <c r="D18" s="1"/>
      <c r="E18" s="1"/>
      <c r="G18" s="13">
        <v>1</v>
      </c>
      <c r="H18" s="7" t="s">
        <v>20</v>
      </c>
      <c r="I18" s="4">
        <f>I5-I8</f>
        <v>0.42883689956359206</v>
      </c>
      <c r="J18" s="4">
        <f>J5-J8</f>
        <v>-0.52468558684739719</v>
      </c>
      <c r="K18" s="4">
        <f>K5-K8</f>
        <v>0.63802044548450354</v>
      </c>
    </row>
    <row r="19" spans="1:17" x14ac:dyDescent="0.3">
      <c r="D19" s="1"/>
      <c r="E19" s="1"/>
      <c r="G19" s="13">
        <v>2</v>
      </c>
      <c r="H19" s="7" t="s">
        <v>21</v>
      </c>
      <c r="I19" s="2">
        <f>I5-I9</f>
        <v>0.19477024674169741</v>
      </c>
      <c r="J19" s="2">
        <f>J5-J9</f>
        <v>-0.48238239138230199</v>
      </c>
      <c r="K19" s="2">
        <f>K5-K9</f>
        <v>0.58515815529230153</v>
      </c>
    </row>
    <row r="20" spans="1:17" x14ac:dyDescent="0.3">
      <c r="D20" s="1"/>
      <c r="E20" s="1"/>
      <c r="G20" s="13">
        <v>3</v>
      </c>
      <c r="H20" s="7" t="s">
        <v>18</v>
      </c>
      <c r="I20" s="2">
        <f>I5-I6</f>
        <v>11.094558239481294</v>
      </c>
      <c r="J20" s="2">
        <f>J5-J6</f>
        <v>-5.382541871789897</v>
      </c>
      <c r="K20" s="2">
        <f>K5-K6</f>
        <v>12.647202844393803</v>
      </c>
    </row>
    <row r="21" spans="1:17" x14ac:dyDescent="0.3">
      <c r="G21" s="13">
        <v>4</v>
      </c>
      <c r="H21" s="7" t="s">
        <v>19</v>
      </c>
      <c r="I21" s="2">
        <f>I5-I7</f>
        <v>-5.7542843856857075</v>
      </c>
      <c r="J21" s="2">
        <f>J5-J7</f>
        <v>6.9794460783169967</v>
      </c>
      <c r="K21" s="2">
        <f>K5-K7</f>
        <v>-15.4709927481492</v>
      </c>
    </row>
    <row r="23" spans="1:17" x14ac:dyDescent="0.3">
      <c r="C23" s="6" t="s">
        <v>25</v>
      </c>
      <c r="D23" s="6" t="s">
        <v>22</v>
      </c>
      <c r="E23" s="7" t="s">
        <v>23</v>
      </c>
      <c r="F23" s="7" t="s">
        <v>24</v>
      </c>
    </row>
    <row r="24" spans="1:17" x14ac:dyDescent="0.3">
      <c r="B24" s="3"/>
      <c r="C24" s="6" t="s">
        <v>11</v>
      </c>
      <c r="D24" s="2">
        <f>MAX($I$5:$I$9)</f>
        <v>71.051144190000002</v>
      </c>
      <c r="E24" s="2">
        <f>MIN($I$5:$I$9)</f>
        <v>54.202301564833</v>
      </c>
      <c r="F24" s="2">
        <f>AVERAGE($I$5:$I$9)</f>
        <v>64.104083604294118</v>
      </c>
    </row>
    <row r="25" spans="1:17" x14ac:dyDescent="0.3">
      <c r="C25" s="6" t="s">
        <v>12</v>
      </c>
      <c r="D25" s="2">
        <f>MAX($J$5:$J$9)</f>
        <v>47.551790840106896</v>
      </c>
      <c r="E25" s="2">
        <f>MIN($J$5:$J$9)</f>
        <v>35.189802890000003</v>
      </c>
      <c r="F25" s="2">
        <f>AVERAGE($J$5:$J$9)</f>
        <v>42.051281722657521</v>
      </c>
    </row>
    <row r="26" spans="1:17" x14ac:dyDescent="0.3">
      <c r="C26" s="9" t="s">
        <v>13</v>
      </c>
      <c r="D26" s="4">
        <f>MAX($K$5:$K$9)</f>
        <v>47.894541330000003</v>
      </c>
      <c r="E26" s="4">
        <f>MIN($K$5:$K$9)</f>
        <v>19.776345737457</v>
      </c>
      <c r="F26" s="4">
        <f>AVERAGE($K$5:$K$9)</f>
        <v>32.743670842446519</v>
      </c>
    </row>
    <row r="27" spans="1:17" x14ac:dyDescent="0.3">
      <c r="C27"/>
      <c r="E27" s="7"/>
      <c r="F27" s="5"/>
    </row>
    <row r="28" spans="1:17" x14ac:dyDescent="0.3">
      <c r="H28" s="14"/>
      <c r="I28" s="7" t="s">
        <v>26</v>
      </c>
      <c r="J28" s="7" t="s">
        <v>11</v>
      </c>
      <c r="K28" s="7" t="s">
        <v>12</v>
      </c>
      <c r="L28" s="11" t="s">
        <v>13</v>
      </c>
    </row>
    <row r="29" spans="1:17" x14ac:dyDescent="0.3">
      <c r="H29" s="13"/>
      <c r="I29" s="7" t="s">
        <v>17</v>
      </c>
      <c r="J29" s="2">
        <v>65.296859804314295</v>
      </c>
      <c r="K29" s="2">
        <v>42.169248968317</v>
      </c>
      <c r="L29" s="4">
        <v>32.423548581850802</v>
      </c>
    </row>
    <row r="30" spans="1:17" x14ac:dyDescent="0.3">
      <c r="H30" s="13"/>
      <c r="I30" s="7" t="s">
        <v>20</v>
      </c>
      <c r="J30" s="2">
        <v>64.868022904750703</v>
      </c>
      <c r="K30" s="2">
        <v>42.693934555164397</v>
      </c>
      <c r="L30" s="4">
        <v>31.785528136366299</v>
      </c>
    </row>
    <row r="31" spans="1:17" x14ac:dyDescent="0.3">
      <c r="B31" t="s">
        <v>31</v>
      </c>
      <c r="C31" s="5" t="s">
        <v>32</v>
      </c>
      <c r="D31" t="s">
        <v>33</v>
      </c>
      <c r="H31" s="14"/>
      <c r="I31" s="7" t="s">
        <v>21</v>
      </c>
      <c r="J31" s="2">
        <v>65.102089557572597</v>
      </c>
      <c r="K31" s="2">
        <v>42.651631359699302</v>
      </c>
      <c r="L31" s="4">
        <v>31.838390426558501</v>
      </c>
    </row>
    <row r="32" spans="1:17" x14ac:dyDescent="0.3">
      <c r="A32" t="s">
        <v>6</v>
      </c>
      <c r="B32">
        <v>21.02</v>
      </c>
      <c r="C32" s="5">
        <f>B32+B32*0.2</f>
        <v>25.224</v>
      </c>
      <c r="D32" s="5">
        <f>B32-B32*0.2</f>
        <v>16.815999999999999</v>
      </c>
      <c r="H32" s="13"/>
      <c r="I32" s="7" t="s">
        <v>18</v>
      </c>
      <c r="J32" s="2">
        <v>54.202301564833</v>
      </c>
      <c r="K32" s="2">
        <v>47.551790840106896</v>
      </c>
      <c r="L32" s="4">
        <v>19.776345737457</v>
      </c>
    </row>
    <row r="33" spans="1:12" x14ac:dyDescent="0.3">
      <c r="H33" s="13"/>
      <c r="I33" s="7" t="s">
        <v>19</v>
      </c>
      <c r="J33" s="2">
        <v>71.051144190000002</v>
      </c>
      <c r="K33" s="2">
        <v>35.189802890000003</v>
      </c>
      <c r="L33" s="4">
        <v>47.894541330000003</v>
      </c>
    </row>
    <row r="34" spans="1:12" x14ac:dyDescent="0.3">
      <c r="B34" t="s">
        <v>31</v>
      </c>
      <c r="C34" s="5" t="s">
        <v>34</v>
      </c>
      <c r="H34" s="14"/>
      <c r="I34" s="11"/>
      <c r="J34" s="12"/>
      <c r="K34" s="12"/>
      <c r="L34" s="12"/>
    </row>
    <row r="35" spans="1:12" x14ac:dyDescent="0.3">
      <c r="B35">
        <v>21.02</v>
      </c>
      <c r="C35" s="5">
        <f>B35+B35*0.1</f>
        <v>23.122</v>
      </c>
      <c r="H35" s="13"/>
      <c r="I35" s="11" t="s">
        <v>25</v>
      </c>
      <c r="J35" s="7" t="s">
        <v>11</v>
      </c>
      <c r="K35" s="7" t="s">
        <v>12</v>
      </c>
      <c r="L35" s="11" t="s">
        <v>13</v>
      </c>
    </row>
    <row r="36" spans="1:12" x14ac:dyDescent="0.3">
      <c r="H36" s="13"/>
      <c r="I36" s="10" t="s">
        <v>22</v>
      </c>
      <c r="J36" s="2">
        <v>71.051144190000002</v>
      </c>
      <c r="K36" s="2">
        <v>47.551790840106896</v>
      </c>
      <c r="L36" s="4">
        <v>47.894541330000003</v>
      </c>
    </row>
    <row r="37" spans="1:12" x14ac:dyDescent="0.3">
      <c r="H37" s="14"/>
      <c r="I37" s="10" t="s">
        <v>23</v>
      </c>
      <c r="J37" s="2">
        <v>54.202301564833</v>
      </c>
      <c r="K37" s="2">
        <v>35.189802890000003</v>
      </c>
      <c r="L37" s="4">
        <v>19.776345737457</v>
      </c>
    </row>
    <row r="38" spans="1:12" x14ac:dyDescent="0.3">
      <c r="H38" s="13"/>
      <c r="I38" s="10" t="s">
        <v>24</v>
      </c>
      <c r="J38" s="2">
        <v>64.104083604294118</v>
      </c>
      <c r="K38" s="2">
        <v>42.051281722657521</v>
      </c>
      <c r="L38" s="4">
        <v>32.743670842446519</v>
      </c>
    </row>
    <row r="39" spans="1:12" x14ac:dyDescent="0.3">
      <c r="A39" t="s">
        <v>16</v>
      </c>
      <c r="B39" t="s">
        <v>35</v>
      </c>
      <c r="C39" s="5" t="s">
        <v>36</v>
      </c>
      <c r="D39" t="s">
        <v>37</v>
      </c>
      <c r="H39" s="13" t="s">
        <v>30</v>
      </c>
      <c r="I39" s="7" t="s">
        <v>28</v>
      </c>
      <c r="J39" s="2">
        <v>-5.7542843856857075</v>
      </c>
      <c r="K39" s="2">
        <v>-5.382541871789897</v>
      </c>
      <c r="L39" s="2">
        <v>-15.4709927481492</v>
      </c>
    </row>
    <row r="40" spans="1:12" x14ac:dyDescent="0.3">
      <c r="A40" t="s">
        <v>17</v>
      </c>
      <c r="B40" t="s">
        <v>38</v>
      </c>
      <c r="C40" s="5">
        <v>36.32</v>
      </c>
      <c r="D40">
        <v>21.02</v>
      </c>
      <c r="H40" s="14" t="s">
        <v>29</v>
      </c>
      <c r="I40" s="7" t="s">
        <v>27</v>
      </c>
      <c r="J40" s="4">
        <v>11.094558239481294</v>
      </c>
      <c r="K40" s="4">
        <v>6.9794460783169967</v>
      </c>
      <c r="L40" s="4">
        <v>12.647202844393803</v>
      </c>
    </row>
    <row r="41" spans="1:12" x14ac:dyDescent="0.3">
      <c r="A41" t="s">
        <v>39</v>
      </c>
      <c r="B41" t="s">
        <v>40</v>
      </c>
      <c r="C41" s="5">
        <v>38.14</v>
      </c>
      <c r="D41" t="s">
        <v>41</v>
      </c>
      <c r="H41" s="13" t="s">
        <v>26</v>
      </c>
      <c r="I41" s="7"/>
      <c r="J41" s="2"/>
      <c r="K41" s="2"/>
      <c r="L41" s="2"/>
    </row>
    <row r="42" spans="1:12" x14ac:dyDescent="0.3">
      <c r="A42" t="s">
        <v>42</v>
      </c>
      <c r="B42" t="s">
        <v>43</v>
      </c>
      <c r="C42" s="5">
        <v>34.5</v>
      </c>
      <c r="D42" t="s">
        <v>41</v>
      </c>
      <c r="H42" s="13">
        <v>1</v>
      </c>
      <c r="I42" s="7" t="s">
        <v>20</v>
      </c>
      <c r="J42" s="4">
        <v>0.42883689956359206</v>
      </c>
      <c r="K42" s="4">
        <v>-0.52468558684739719</v>
      </c>
      <c r="L42" s="4">
        <v>0.63802044548450354</v>
      </c>
    </row>
    <row r="43" spans="1:12" x14ac:dyDescent="0.3">
      <c r="A43" t="s">
        <v>44</v>
      </c>
      <c r="B43" t="s">
        <v>45</v>
      </c>
      <c r="C43" s="5" t="s">
        <v>41</v>
      </c>
      <c r="D43">
        <v>22.07</v>
      </c>
      <c r="H43" s="13">
        <v>2</v>
      </c>
      <c r="I43" s="7" t="s">
        <v>21</v>
      </c>
      <c r="J43" s="2">
        <v>0.19477024674169741</v>
      </c>
      <c r="K43" s="2">
        <v>-0.48238239138230199</v>
      </c>
      <c r="L43" s="2">
        <v>0.58515815529230153</v>
      </c>
    </row>
    <row r="44" spans="1:12" x14ac:dyDescent="0.3">
      <c r="A44" t="s">
        <v>46</v>
      </c>
      <c r="B44" t="s">
        <v>47</v>
      </c>
      <c r="C44" s="5" t="s">
        <v>41</v>
      </c>
      <c r="D44">
        <v>19.97</v>
      </c>
      <c r="H44" s="13">
        <v>3</v>
      </c>
      <c r="I44" s="7" t="s">
        <v>18</v>
      </c>
      <c r="J44" s="2">
        <v>11.094558239481294</v>
      </c>
      <c r="K44" s="2">
        <v>-5.382541871789897</v>
      </c>
      <c r="L44" s="2">
        <v>12.647202844393803</v>
      </c>
    </row>
    <row r="45" spans="1:12" x14ac:dyDescent="0.3">
      <c r="H45" s="13">
        <v>4</v>
      </c>
      <c r="I45" s="7" t="s">
        <v>19</v>
      </c>
      <c r="J45" s="2">
        <v>-5.7542843856857075</v>
      </c>
      <c r="K45" s="2">
        <v>6.9794460783169967</v>
      </c>
      <c r="L45" s="2">
        <v>-15.4709927481492</v>
      </c>
    </row>
    <row r="47" spans="1:12" x14ac:dyDescent="0.3">
      <c r="A47" t="s">
        <v>16</v>
      </c>
      <c r="B47" t="s">
        <v>35</v>
      </c>
      <c r="C47" s="5" t="s">
        <v>36</v>
      </c>
      <c r="D47" t="s">
        <v>37</v>
      </c>
      <c r="E47" s="15" t="s">
        <v>53</v>
      </c>
      <c r="F47" s="5" t="s">
        <v>51</v>
      </c>
      <c r="G47" s="5" t="s">
        <v>52</v>
      </c>
      <c r="H47" s="5" t="s">
        <v>48</v>
      </c>
      <c r="I47" s="5" t="s">
        <v>58</v>
      </c>
      <c r="J47" t="s">
        <v>49</v>
      </c>
      <c r="K47" t="s">
        <v>50</v>
      </c>
      <c r="L47" s="5"/>
    </row>
    <row r="48" spans="1:12" x14ac:dyDescent="0.3">
      <c r="A48" t="s">
        <v>17</v>
      </c>
      <c r="B48" t="s">
        <v>38</v>
      </c>
      <c r="C48" s="5">
        <v>36.32</v>
      </c>
      <c r="D48">
        <v>21.02</v>
      </c>
      <c r="E48" s="15">
        <v>0.97</v>
      </c>
      <c r="F48" s="5">
        <v>65.03</v>
      </c>
      <c r="G48" s="5">
        <v>42.49</v>
      </c>
      <c r="H48" s="5">
        <v>31.78</v>
      </c>
      <c r="I48" s="2">
        <f>SUM(F48:H48)</f>
        <v>139.30000000000001</v>
      </c>
      <c r="J48" s="5">
        <v>100</v>
      </c>
      <c r="K48" s="5">
        <v>100</v>
      </c>
      <c r="L48" s="5"/>
    </row>
    <row r="49" spans="1:12" x14ac:dyDescent="0.3">
      <c r="A49" t="s">
        <v>39</v>
      </c>
      <c r="B49" t="s">
        <v>54</v>
      </c>
      <c r="C49" s="2">
        <f>$C$48+$C$48*15%</f>
        <v>41.768000000000001</v>
      </c>
      <c r="D49" t="s">
        <v>41</v>
      </c>
      <c r="E49" s="7">
        <v>0.96</v>
      </c>
      <c r="F49" s="2">
        <v>31.64117894</v>
      </c>
      <c r="G49" s="2">
        <v>42.885366750000003</v>
      </c>
      <c r="H49" s="2">
        <v>7.6217690749999996</v>
      </c>
      <c r="I49" s="2">
        <f t="shared" ref="I49:I52" si="0">SUM(F49:H49)</f>
        <v>82.148314765000009</v>
      </c>
      <c r="J49" s="5">
        <v>7</v>
      </c>
      <c r="K49" s="5">
        <v>7</v>
      </c>
      <c r="L49" s="5"/>
    </row>
    <row r="50" spans="1:12" x14ac:dyDescent="0.3">
      <c r="A50" t="s">
        <v>42</v>
      </c>
      <c r="B50" t="s">
        <v>55</v>
      </c>
      <c r="C50" s="2">
        <f>$C$48-$C$48*15%</f>
        <v>30.872</v>
      </c>
      <c r="D50" t="s">
        <v>41</v>
      </c>
      <c r="E50" s="15">
        <v>0.98</v>
      </c>
      <c r="F50" s="5">
        <v>83.43</v>
      </c>
      <c r="G50" s="5">
        <v>25.65</v>
      </c>
      <c r="H50" s="5">
        <v>66.02</v>
      </c>
      <c r="I50" s="2">
        <f t="shared" si="0"/>
        <v>175.10000000000002</v>
      </c>
      <c r="J50" s="5">
        <v>100</v>
      </c>
      <c r="K50" s="5">
        <v>67</v>
      </c>
      <c r="L50" s="5"/>
    </row>
    <row r="51" spans="1:12" x14ac:dyDescent="0.3">
      <c r="A51" t="s">
        <v>44</v>
      </c>
      <c r="B51" t="s">
        <v>56</v>
      </c>
      <c r="C51" s="5" t="s">
        <v>41</v>
      </c>
      <c r="D51" s="1">
        <f>$D$48+$D$48*15%</f>
        <v>24.172999999999998</v>
      </c>
      <c r="E51" s="15">
        <v>0.96</v>
      </c>
      <c r="F51" s="5">
        <v>27.43</v>
      </c>
      <c r="G51" s="5">
        <v>41.36</v>
      </c>
      <c r="H51" s="5">
        <v>5.68</v>
      </c>
      <c r="I51" s="2">
        <f t="shared" si="0"/>
        <v>74.47</v>
      </c>
      <c r="J51" s="5">
        <v>19</v>
      </c>
      <c r="K51" s="5">
        <v>11</v>
      </c>
      <c r="L51" s="5"/>
    </row>
    <row r="52" spans="1:12" x14ac:dyDescent="0.3">
      <c r="A52" t="s">
        <v>46</v>
      </c>
      <c r="B52" t="s">
        <v>57</v>
      </c>
      <c r="C52" s="5" t="s">
        <v>41</v>
      </c>
      <c r="D52" s="1">
        <f>$D$48-$D$48*15%</f>
        <v>17.867000000000001</v>
      </c>
      <c r="E52" s="15">
        <v>0.98</v>
      </c>
      <c r="F52" s="5">
        <v>87.87</v>
      </c>
      <c r="G52" s="5">
        <v>24.88</v>
      </c>
      <c r="H52" s="5">
        <v>70.38</v>
      </c>
      <c r="I52" s="2">
        <f t="shared" si="0"/>
        <v>183.13</v>
      </c>
      <c r="J52" s="5">
        <v>44</v>
      </c>
      <c r="K52" s="5">
        <v>22</v>
      </c>
      <c r="L52" s="5"/>
    </row>
    <row r="53" spans="1:12" x14ac:dyDescent="0.3">
      <c r="E53" s="7"/>
      <c r="F53" s="5"/>
      <c r="G53" s="5"/>
      <c r="H53" s="5"/>
      <c r="I53"/>
      <c r="J53"/>
    </row>
    <row r="55" spans="1:12" x14ac:dyDescent="0.3">
      <c r="A55" t="s">
        <v>16</v>
      </c>
      <c r="B55" t="s">
        <v>35</v>
      </c>
      <c r="C55" s="5" t="s">
        <v>36</v>
      </c>
      <c r="D55" t="s">
        <v>37</v>
      </c>
      <c r="E55" s="15" t="s">
        <v>53</v>
      </c>
      <c r="F55" s="5" t="s">
        <v>51</v>
      </c>
      <c r="G55" s="5" t="s">
        <v>52</v>
      </c>
      <c r="H55" s="5" t="s">
        <v>48</v>
      </c>
      <c r="I55" s="5" t="s">
        <v>58</v>
      </c>
      <c r="J55" t="s">
        <v>49</v>
      </c>
      <c r="K55" t="s">
        <v>50</v>
      </c>
    </row>
    <row r="56" spans="1:12" x14ac:dyDescent="0.3">
      <c r="A56" t="s">
        <v>17</v>
      </c>
      <c r="B56" t="s">
        <v>38</v>
      </c>
      <c r="C56" s="5">
        <v>36.32</v>
      </c>
      <c r="D56">
        <v>21.02</v>
      </c>
      <c r="E56" s="15">
        <v>0.97</v>
      </c>
      <c r="F56" s="5">
        <v>65.03</v>
      </c>
      <c r="G56" s="5">
        <v>42.49</v>
      </c>
      <c r="H56" s="5">
        <v>31.78</v>
      </c>
      <c r="I56" s="2">
        <v>139.30000000000001</v>
      </c>
      <c r="J56" s="5">
        <v>100</v>
      </c>
      <c r="K56" s="5">
        <v>100</v>
      </c>
    </row>
    <row r="57" spans="1:12" x14ac:dyDescent="0.3">
      <c r="A57" t="s">
        <v>39</v>
      </c>
      <c r="B57" t="s">
        <v>54</v>
      </c>
      <c r="C57" s="2">
        <v>41.768000000000001</v>
      </c>
      <c r="D57" t="s">
        <v>41</v>
      </c>
      <c r="E57" s="7">
        <v>0.96</v>
      </c>
      <c r="F57" s="2">
        <v>31.64117894</v>
      </c>
      <c r="G57" s="2">
        <v>42.885366750000003</v>
      </c>
      <c r="H57" s="2">
        <v>7.6217690749999996</v>
      </c>
      <c r="I57" s="2">
        <v>82.148314765000009</v>
      </c>
      <c r="J57" s="5">
        <v>7</v>
      </c>
      <c r="K57" s="5">
        <v>7</v>
      </c>
    </row>
    <row r="58" spans="1:12" x14ac:dyDescent="0.3">
      <c r="A58" t="s">
        <v>42</v>
      </c>
      <c r="B58" t="s">
        <v>55</v>
      </c>
      <c r="C58" s="2">
        <v>30.872</v>
      </c>
      <c r="D58" t="s">
        <v>41</v>
      </c>
      <c r="E58" s="15">
        <v>0.98</v>
      </c>
      <c r="F58" s="5">
        <v>83.43</v>
      </c>
      <c r="G58" s="5">
        <v>25.65</v>
      </c>
      <c r="H58" s="5">
        <v>66.02</v>
      </c>
      <c r="I58" s="2">
        <v>175.10000000000002</v>
      </c>
      <c r="J58" s="5">
        <v>100</v>
      </c>
      <c r="K58" s="5">
        <v>67</v>
      </c>
    </row>
    <row r="59" spans="1:12" x14ac:dyDescent="0.3">
      <c r="A59" t="s">
        <v>44</v>
      </c>
      <c r="B59" t="s">
        <v>56</v>
      </c>
      <c r="C59" s="5" t="s">
        <v>41</v>
      </c>
      <c r="D59" s="1">
        <v>24.172999999999998</v>
      </c>
      <c r="E59" s="15">
        <v>0.96</v>
      </c>
      <c r="F59" s="5">
        <v>27.43</v>
      </c>
      <c r="G59" s="5">
        <v>41.36</v>
      </c>
      <c r="H59" s="5">
        <v>5.68</v>
      </c>
      <c r="I59" s="2">
        <v>74.47</v>
      </c>
      <c r="J59" s="5">
        <v>19</v>
      </c>
      <c r="K59" s="5">
        <v>11</v>
      </c>
    </row>
    <row r="60" spans="1:12" x14ac:dyDescent="0.3">
      <c r="A60" t="s">
        <v>46</v>
      </c>
      <c r="B60" t="s">
        <v>57</v>
      </c>
      <c r="C60" s="5" t="s">
        <v>41</v>
      </c>
      <c r="D60" s="1">
        <v>17.867000000000001</v>
      </c>
      <c r="E60" s="15">
        <v>0.98</v>
      </c>
      <c r="F60" s="5">
        <v>87.87</v>
      </c>
      <c r="G60" s="5">
        <v>24.88</v>
      </c>
      <c r="H60" s="5">
        <v>70.38</v>
      </c>
      <c r="I60" s="2">
        <v>183.13</v>
      </c>
      <c r="J60" s="5">
        <v>44</v>
      </c>
      <c r="K60" s="5">
        <v>22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ColWidth="11.5546875" defaultRowHeight="14.4" x14ac:dyDescent="0.3"/>
  <sheetData>
    <row r="1" spans="1:3" x14ac:dyDescent="0.3">
      <c r="A1" t="s">
        <v>0</v>
      </c>
      <c r="B1" t="s">
        <v>14</v>
      </c>
      <c r="C1" t="s">
        <v>15</v>
      </c>
    </row>
    <row r="2" spans="1:3" x14ac:dyDescent="0.3">
      <c r="A2" t="s">
        <v>11</v>
      </c>
      <c r="B2">
        <v>65.296859804314295</v>
      </c>
      <c r="C2">
        <v>100</v>
      </c>
    </row>
    <row r="3" spans="1:3" x14ac:dyDescent="0.3">
      <c r="A3" t="s">
        <v>12</v>
      </c>
      <c r="B3">
        <v>42.169248968317</v>
      </c>
      <c r="C3">
        <v>100</v>
      </c>
    </row>
    <row r="4" spans="1:3" x14ac:dyDescent="0.3">
      <c r="A4" t="s">
        <v>13</v>
      </c>
      <c r="B4">
        <v>32.423548581850802</v>
      </c>
      <c r="C4">
        <v>20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C3817-A88A-432F-A5FF-9ED234993135}">
  <dimension ref="A1:D16"/>
  <sheetViews>
    <sheetView workbookViewId="0">
      <selection activeCell="C14" sqref="C1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32.783560289016201</v>
      </c>
      <c r="C2">
        <v>31.808482569451801</v>
      </c>
      <c r="D2">
        <v>33.724504761936998</v>
      </c>
    </row>
    <row r="3" spans="1:4" x14ac:dyDescent="0.3">
      <c r="A3" t="s">
        <v>5</v>
      </c>
      <c r="B3">
        <v>34.509010830543403</v>
      </c>
      <c r="C3">
        <v>33.482613231001899</v>
      </c>
      <c r="D3">
        <v>35.499478696775803</v>
      </c>
    </row>
    <row r="4" spans="1:4" x14ac:dyDescent="0.3">
      <c r="A4" t="s">
        <v>6</v>
      </c>
      <c r="B4">
        <v>25.245142705282799</v>
      </c>
      <c r="C4">
        <v>24.241175382089899</v>
      </c>
      <c r="D4">
        <v>26.260720126801498</v>
      </c>
    </row>
    <row r="5" spans="1:4" x14ac:dyDescent="0.3">
      <c r="A5" t="s">
        <v>7</v>
      </c>
      <c r="B5">
        <v>26.331527317105799</v>
      </c>
      <c r="C5">
        <v>24.348583434568202</v>
      </c>
      <c r="D5">
        <v>28.472600176106301</v>
      </c>
    </row>
    <row r="6" spans="1:4" x14ac:dyDescent="0.3">
      <c r="A6" t="s">
        <v>8</v>
      </c>
      <c r="B6">
        <v>28.964680048816302</v>
      </c>
      <c r="C6">
        <v>26.783441778025001</v>
      </c>
      <c r="D6">
        <v>31.319860193716998</v>
      </c>
    </row>
    <row r="7" spans="1:4" x14ac:dyDescent="0.3">
      <c r="A7" t="s">
        <v>9</v>
      </c>
      <c r="B7">
        <v>23.6983745853952</v>
      </c>
      <c r="C7">
        <v>21.913725091111399</v>
      </c>
      <c r="D7">
        <v>25.6253401584957</v>
      </c>
    </row>
    <row r="9" spans="1:4" x14ac:dyDescent="0.3">
      <c r="B9" s="1">
        <f>B4/B5</f>
        <v>0.95874205856956696</v>
      </c>
    </row>
    <row r="13" spans="1:4" x14ac:dyDescent="0.3">
      <c r="A13" t="s">
        <v>0</v>
      </c>
      <c r="B13" t="s">
        <v>10</v>
      </c>
      <c r="C13" t="s">
        <v>2</v>
      </c>
      <c r="D13" t="s">
        <v>3</v>
      </c>
    </row>
    <row r="14" spans="1:4" x14ac:dyDescent="0.3">
      <c r="A14" t="s">
        <v>11</v>
      </c>
      <c r="B14" s="2">
        <v>17.2869940251875</v>
      </c>
      <c r="C14" s="2">
        <v>8.9967197410060997</v>
      </c>
      <c r="D14" s="2">
        <v>24.8547986173547</v>
      </c>
    </row>
    <row r="15" spans="1:4" x14ac:dyDescent="0.3">
      <c r="A15" t="s">
        <v>12</v>
      </c>
      <c r="B15" s="2">
        <v>31.0496791544725</v>
      </c>
      <c r="C15" s="2">
        <v>14.210340829062799</v>
      </c>
      <c r="D15" s="2">
        <v>50.108028628169897</v>
      </c>
    </row>
    <row r="16" spans="1:4" x14ac:dyDescent="0.3">
      <c r="A16" t="s">
        <v>13</v>
      </c>
      <c r="B16" s="2">
        <v>2.7238862317614898</v>
      </c>
      <c r="C16" s="2">
        <v>0.12664255728520801</v>
      </c>
      <c r="D16" s="2">
        <v>9.3167888896016091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Length_Parameters</vt:lpstr>
      <vt:lpstr>Froese_Indicators</vt:lpstr>
      <vt:lpstr>Target_vs_Catch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Ataher Ali</cp:lastModifiedBy>
  <dcterms:created xsi:type="dcterms:W3CDTF">2026-08-04T17:06:35Z</dcterms:created>
  <dcterms:modified xsi:type="dcterms:W3CDTF">2026-08-24T23:45:42Z</dcterms:modified>
</cp:coreProperties>
</file>